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xampp\htdocs\sales-management\"/>
    </mc:Choice>
  </mc:AlternateContent>
  <xr:revisionPtr revIDLastSave="0" documentId="8_{D1175E06-2A20-4863-B7C5-EE90B254BF6A}" xr6:coauthVersionLast="47" xr6:coauthVersionMax="47" xr10:uidLastSave="{00000000-0000-0000-0000-000000000000}"/>
  <bookViews>
    <workbookView xWindow="-108" yWindow="-108" windowWidth="23256" windowHeight="12576" tabRatio="500" firstSheet="3" activeTab="6" xr2:uid="{00000000-000D-0000-FFFF-FFFF00000000}"/>
  </bookViews>
  <sheets>
    <sheet name="دليل الاستخدام" sheetId="1" r:id="rId1"/>
    <sheet name="لوحة القيادة" sheetId="2" r:id="rId2"/>
    <sheet name="المنتجات" sheetId="3" r:id="rId3"/>
    <sheet name="إدخال المشتريات" sheetId="4" r:id="rId4"/>
    <sheet name="إدخال المبيعات" sheetId="5" r:id="rId5"/>
    <sheet name="تقرير المنتجات" sheetId="6" r:id="rId6"/>
    <sheet name="التنبؤ وإعادة الطلب" sheetId="7" r:id="rId7"/>
    <sheet name="التقرير الشهري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" i="8" l="1"/>
  <c r="B7" i="8"/>
  <c r="C7" i="8" s="1"/>
  <c r="K36" i="7"/>
  <c r="E36" i="7"/>
  <c r="F36" i="7" s="1"/>
  <c r="H36" i="7" s="1"/>
  <c r="D36" i="7"/>
  <c r="C36" i="7"/>
  <c r="B36" i="7"/>
  <c r="K35" i="7"/>
  <c r="D35" i="7"/>
  <c r="C35" i="7"/>
  <c r="B35" i="7"/>
  <c r="K34" i="7"/>
  <c r="D34" i="7"/>
  <c r="C34" i="7"/>
  <c r="E34" i="7" s="1"/>
  <c r="B34" i="7"/>
  <c r="K33" i="7"/>
  <c r="D33" i="7"/>
  <c r="E33" i="7" s="1"/>
  <c r="G33" i="7" s="1"/>
  <c r="I33" i="7" s="1"/>
  <c r="C33" i="7"/>
  <c r="B33" i="7"/>
  <c r="K32" i="7"/>
  <c r="E32" i="7"/>
  <c r="F32" i="7" s="1"/>
  <c r="H32" i="7" s="1"/>
  <c r="D32" i="7"/>
  <c r="C32" i="7"/>
  <c r="B32" i="7"/>
  <c r="K31" i="7"/>
  <c r="D31" i="7"/>
  <c r="C31" i="7"/>
  <c r="B31" i="7"/>
  <c r="K30" i="7"/>
  <c r="D30" i="7"/>
  <c r="C30" i="7"/>
  <c r="E30" i="7" s="1"/>
  <c r="B30" i="7"/>
  <c r="K29" i="7"/>
  <c r="D29" i="7"/>
  <c r="C29" i="7"/>
  <c r="E29" i="7" s="1"/>
  <c r="G29" i="7" s="1"/>
  <c r="I29" i="7" s="1"/>
  <c r="B29" i="7"/>
  <c r="K28" i="7"/>
  <c r="E28" i="7"/>
  <c r="F28" i="7" s="1"/>
  <c r="H28" i="7" s="1"/>
  <c r="D28" i="7"/>
  <c r="C28" i="7"/>
  <c r="B28" i="7"/>
  <c r="K27" i="7"/>
  <c r="H27" i="7"/>
  <c r="F27" i="7"/>
  <c r="D27" i="7"/>
  <c r="E27" i="7" s="1"/>
  <c r="G27" i="7" s="1"/>
  <c r="I27" i="7" s="1"/>
  <c r="C27" i="7"/>
  <c r="B27" i="7"/>
  <c r="K26" i="7"/>
  <c r="I26" i="7"/>
  <c r="G26" i="7"/>
  <c r="E26" i="7"/>
  <c r="F26" i="7" s="1"/>
  <c r="H26" i="7" s="1"/>
  <c r="D26" i="7"/>
  <c r="C26" i="7"/>
  <c r="B26" i="7"/>
  <c r="K25" i="7"/>
  <c r="D25" i="7"/>
  <c r="C25" i="7"/>
  <c r="E25" i="7" s="1"/>
  <c r="G25" i="7" s="1"/>
  <c r="I25" i="7" s="1"/>
  <c r="B25" i="7"/>
  <c r="K24" i="7"/>
  <c r="E24" i="7"/>
  <c r="F24" i="7" s="1"/>
  <c r="H24" i="7" s="1"/>
  <c r="D24" i="7"/>
  <c r="C24" i="7"/>
  <c r="B24" i="7"/>
  <c r="K23" i="7"/>
  <c r="D23" i="7"/>
  <c r="C23" i="7"/>
  <c r="B23" i="7"/>
  <c r="K22" i="7"/>
  <c r="I22" i="7"/>
  <c r="G22" i="7"/>
  <c r="E22" i="7"/>
  <c r="F22" i="7" s="1"/>
  <c r="H22" i="7" s="1"/>
  <c r="D22" i="7"/>
  <c r="C22" i="7"/>
  <c r="B22" i="7"/>
  <c r="K21" i="7"/>
  <c r="D21" i="7"/>
  <c r="E21" i="7" s="1"/>
  <c r="G21" i="7" s="1"/>
  <c r="I21" i="7" s="1"/>
  <c r="C21" i="7"/>
  <c r="B21" i="7"/>
  <c r="K20" i="7"/>
  <c r="E20" i="7"/>
  <c r="F20" i="7" s="1"/>
  <c r="H20" i="7" s="1"/>
  <c r="D20" i="7"/>
  <c r="C20" i="7"/>
  <c r="B20" i="7"/>
  <c r="K19" i="7"/>
  <c r="D19" i="7"/>
  <c r="C19" i="7"/>
  <c r="B19" i="7"/>
  <c r="K18" i="7"/>
  <c r="I18" i="7"/>
  <c r="G18" i="7"/>
  <c r="E18" i="7"/>
  <c r="F18" i="7" s="1"/>
  <c r="H18" i="7" s="1"/>
  <c r="D18" i="7"/>
  <c r="C18" i="7"/>
  <c r="B18" i="7"/>
  <c r="K17" i="7"/>
  <c r="D17" i="7"/>
  <c r="C17" i="7"/>
  <c r="E17" i="7" s="1"/>
  <c r="G17" i="7" s="1"/>
  <c r="I17" i="7" s="1"/>
  <c r="B17" i="7"/>
  <c r="K16" i="7"/>
  <c r="E16" i="7"/>
  <c r="F16" i="7" s="1"/>
  <c r="H16" i="7" s="1"/>
  <c r="D16" i="7"/>
  <c r="C16" i="7"/>
  <c r="B16" i="7"/>
  <c r="F15" i="7"/>
  <c r="H15" i="7" s="1"/>
  <c r="D15" i="7"/>
  <c r="E15" i="7" s="1"/>
  <c r="C15" i="7"/>
  <c r="B15" i="7"/>
  <c r="G14" i="7"/>
  <c r="I14" i="7" s="1"/>
  <c r="E14" i="7"/>
  <c r="F14" i="7" s="1"/>
  <c r="H14" i="7" s="1"/>
  <c r="D14" i="7"/>
  <c r="C14" i="7"/>
  <c r="B14" i="7"/>
  <c r="D13" i="7"/>
  <c r="C13" i="7"/>
  <c r="B13" i="7"/>
  <c r="D12" i="7"/>
  <c r="C12" i="7"/>
  <c r="E12" i="7" s="1"/>
  <c r="B12" i="7"/>
  <c r="D11" i="7"/>
  <c r="C11" i="7"/>
  <c r="E11" i="7" s="1"/>
  <c r="F11" i="7" s="1"/>
  <c r="H11" i="7" s="1"/>
  <c r="B11" i="7"/>
  <c r="E10" i="7"/>
  <c r="F10" i="7" s="1"/>
  <c r="H10" i="7" s="1"/>
  <c r="D10" i="7"/>
  <c r="C10" i="7"/>
  <c r="B10" i="7"/>
  <c r="F9" i="7"/>
  <c r="H9" i="7" s="1"/>
  <c r="D9" i="7"/>
  <c r="E9" i="7" s="1"/>
  <c r="C9" i="7"/>
  <c r="B9" i="7"/>
  <c r="G8" i="7"/>
  <c r="I8" i="7" s="1"/>
  <c r="E8" i="7"/>
  <c r="F8" i="7" s="1"/>
  <c r="H8" i="7" s="1"/>
  <c r="D8" i="7"/>
  <c r="C8" i="7"/>
  <c r="B8" i="7"/>
  <c r="D7" i="7"/>
  <c r="C7" i="7"/>
  <c r="B7" i="7"/>
  <c r="L34" i="6"/>
  <c r="K34" i="6"/>
  <c r="J34" i="6"/>
  <c r="I34" i="6"/>
  <c r="M34" i="6" s="1"/>
  <c r="H34" i="6"/>
  <c r="G34" i="6"/>
  <c r="F34" i="6"/>
  <c r="E34" i="6"/>
  <c r="D34" i="6"/>
  <c r="C34" i="6"/>
  <c r="B34" i="6"/>
  <c r="L33" i="6"/>
  <c r="K33" i="6"/>
  <c r="J33" i="6"/>
  <c r="I33" i="6"/>
  <c r="M33" i="6" s="1"/>
  <c r="H33" i="6"/>
  <c r="G33" i="6"/>
  <c r="F33" i="6"/>
  <c r="E33" i="6"/>
  <c r="D33" i="6"/>
  <c r="C33" i="6"/>
  <c r="B33" i="6"/>
  <c r="L32" i="6"/>
  <c r="K32" i="6"/>
  <c r="J32" i="6"/>
  <c r="I32" i="6"/>
  <c r="M32" i="6" s="1"/>
  <c r="H32" i="6"/>
  <c r="G32" i="6"/>
  <c r="F32" i="6"/>
  <c r="E32" i="6"/>
  <c r="D32" i="6"/>
  <c r="C32" i="6"/>
  <c r="B32" i="6"/>
  <c r="L31" i="6"/>
  <c r="K31" i="6"/>
  <c r="J31" i="6"/>
  <c r="I31" i="6"/>
  <c r="M31" i="6" s="1"/>
  <c r="H31" i="6"/>
  <c r="G31" i="6"/>
  <c r="F31" i="6"/>
  <c r="E31" i="6"/>
  <c r="D31" i="6"/>
  <c r="C31" i="6"/>
  <c r="B31" i="6"/>
  <c r="L30" i="6"/>
  <c r="K30" i="6"/>
  <c r="J30" i="6"/>
  <c r="I30" i="6"/>
  <c r="M30" i="6" s="1"/>
  <c r="H30" i="6"/>
  <c r="G30" i="6"/>
  <c r="F30" i="6"/>
  <c r="E30" i="6"/>
  <c r="D30" i="6"/>
  <c r="C30" i="6"/>
  <c r="B30" i="6"/>
  <c r="L29" i="6"/>
  <c r="K29" i="6"/>
  <c r="J29" i="6"/>
  <c r="I29" i="6"/>
  <c r="M29" i="6" s="1"/>
  <c r="H29" i="6"/>
  <c r="G29" i="6"/>
  <c r="F29" i="6"/>
  <c r="E29" i="6"/>
  <c r="D29" i="6"/>
  <c r="C29" i="6"/>
  <c r="B29" i="6"/>
  <c r="L28" i="6"/>
  <c r="K28" i="6"/>
  <c r="J28" i="6"/>
  <c r="I28" i="6"/>
  <c r="M28" i="6" s="1"/>
  <c r="H28" i="6"/>
  <c r="G28" i="6"/>
  <c r="F28" i="6"/>
  <c r="E28" i="6"/>
  <c r="D28" i="6"/>
  <c r="C28" i="6"/>
  <c r="B28" i="6"/>
  <c r="L27" i="6"/>
  <c r="K27" i="6"/>
  <c r="J27" i="6"/>
  <c r="I27" i="6"/>
  <c r="M27" i="6" s="1"/>
  <c r="H27" i="6"/>
  <c r="G27" i="6"/>
  <c r="F27" i="6"/>
  <c r="E27" i="6"/>
  <c r="D27" i="6"/>
  <c r="C27" i="6"/>
  <c r="B27" i="6"/>
  <c r="L26" i="6"/>
  <c r="K26" i="6"/>
  <c r="J26" i="6"/>
  <c r="I26" i="6"/>
  <c r="M26" i="6" s="1"/>
  <c r="H26" i="6"/>
  <c r="G26" i="6"/>
  <c r="F26" i="6"/>
  <c r="E26" i="6"/>
  <c r="D26" i="6"/>
  <c r="C26" i="6"/>
  <c r="B26" i="6"/>
  <c r="L25" i="6"/>
  <c r="K25" i="6"/>
  <c r="J25" i="6"/>
  <c r="I25" i="6"/>
  <c r="M25" i="6" s="1"/>
  <c r="H25" i="6"/>
  <c r="G25" i="6"/>
  <c r="F25" i="6"/>
  <c r="E25" i="6"/>
  <c r="D25" i="6"/>
  <c r="C25" i="6"/>
  <c r="B25" i="6"/>
  <c r="L24" i="6"/>
  <c r="K24" i="6"/>
  <c r="J24" i="6"/>
  <c r="I24" i="6"/>
  <c r="M24" i="6" s="1"/>
  <c r="H24" i="6"/>
  <c r="G24" i="6"/>
  <c r="F24" i="6"/>
  <c r="E24" i="6"/>
  <c r="D24" i="6"/>
  <c r="C24" i="6"/>
  <c r="B24" i="6"/>
  <c r="L23" i="6"/>
  <c r="K23" i="6"/>
  <c r="J23" i="6"/>
  <c r="I23" i="6"/>
  <c r="M23" i="6" s="1"/>
  <c r="H23" i="6"/>
  <c r="G23" i="6"/>
  <c r="F23" i="6"/>
  <c r="E23" i="6"/>
  <c r="D23" i="6"/>
  <c r="C23" i="6"/>
  <c r="B23" i="6"/>
  <c r="L22" i="6"/>
  <c r="K22" i="6"/>
  <c r="J22" i="6"/>
  <c r="I22" i="6"/>
  <c r="M22" i="6" s="1"/>
  <c r="H22" i="6"/>
  <c r="G22" i="6"/>
  <c r="F22" i="6"/>
  <c r="E22" i="6"/>
  <c r="D22" i="6"/>
  <c r="C22" i="6"/>
  <c r="B22" i="6"/>
  <c r="L21" i="6"/>
  <c r="K21" i="6"/>
  <c r="J21" i="6"/>
  <c r="I21" i="6"/>
  <c r="M21" i="6" s="1"/>
  <c r="H21" i="6"/>
  <c r="G21" i="6"/>
  <c r="F21" i="6"/>
  <c r="E21" i="6"/>
  <c r="D21" i="6"/>
  <c r="C21" i="6"/>
  <c r="B21" i="6"/>
  <c r="L20" i="6"/>
  <c r="K20" i="6"/>
  <c r="J20" i="6"/>
  <c r="I20" i="6"/>
  <c r="M20" i="6" s="1"/>
  <c r="H20" i="6"/>
  <c r="G20" i="6"/>
  <c r="F20" i="6"/>
  <c r="E20" i="6"/>
  <c r="D20" i="6"/>
  <c r="C20" i="6"/>
  <c r="B20" i="6"/>
  <c r="L19" i="6"/>
  <c r="K19" i="6"/>
  <c r="J19" i="6"/>
  <c r="I19" i="6"/>
  <c r="M19" i="6" s="1"/>
  <c r="H19" i="6"/>
  <c r="G19" i="6"/>
  <c r="F19" i="6"/>
  <c r="E19" i="6"/>
  <c r="D19" i="6"/>
  <c r="C19" i="6"/>
  <c r="B19" i="6"/>
  <c r="L18" i="6"/>
  <c r="K18" i="6"/>
  <c r="J18" i="6"/>
  <c r="I18" i="6"/>
  <c r="M18" i="6" s="1"/>
  <c r="H18" i="6"/>
  <c r="G18" i="6"/>
  <c r="F18" i="6"/>
  <c r="E18" i="6"/>
  <c r="D18" i="6"/>
  <c r="C18" i="6"/>
  <c r="B18" i="6"/>
  <c r="L17" i="6"/>
  <c r="K17" i="6"/>
  <c r="J17" i="6"/>
  <c r="I17" i="6"/>
  <c r="M17" i="6" s="1"/>
  <c r="H17" i="6"/>
  <c r="G17" i="6"/>
  <c r="F17" i="6"/>
  <c r="E17" i="6"/>
  <c r="D17" i="6"/>
  <c r="C17" i="6"/>
  <c r="B17" i="6"/>
  <c r="L16" i="6"/>
  <c r="K16" i="6"/>
  <c r="J16" i="6"/>
  <c r="I16" i="6"/>
  <c r="M16" i="6" s="1"/>
  <c r="H16" i="6"/>
  <c r="G16" i="6"/>
  <c r="F16" i="6"/>
  <c r="E16" i="6"/>
  <c r="D16" i="6"/>
  <c r="C16" i="6"/>
  <c r="B16" i="6"/>
  <c r="L15" i="6"/>
  <c r="K15" i="6"/>
  <c r="J15" i="6"/>
  <c r="I15" i="6"/>
  <c r="M15" i="6" s="1"/>
  <c r="H15" i="6"/>
  <c r="G15" i="6"/>
  <c r="F15" i="6"/>
  <c r="E15" i="6"/>
  <c r="D15" i="6"/>
  <c r="C15" i="6"/>
  <c r="B15" i="6"/>
  <c r="L14" i="6"/>
  <c r="K14" i="6"/>
  <c r="J14" i="6"/>
  <c r="I14" i="6"/>
  <c r="M14" i="6" s="1"/>
  <c r="H14" i="6"/>
  <c r="G14" i="6"/>
  <c r="F14" i="6"/>
  <c r="E14" i="6"/>
  <c r="D14" i="6"/>
  <c r="C14" i="6"/>
  <c r="B14" i="6"/>
  <c r="K13" i="6"/>
  <c r="K15" i="7" s="1"/>
  <c r="F13" i="6"/>
  <c r="D13" i="6"/>
  <c r="C13" i="6"/>
  <c r="B13" i="6"/>
  <c r="K12" i="6"/>
  <c r="L12" i="6" s="1"/>
  <c r="F12" i="6"/>
  <c r="C12" i="6"/>
  <c r="B12" i="6"/>
  <c r="K11" i="6"/>
  <c r="K13" i="7" s="1"/>
  <c r="F11" i="6"/>
  <c r="C11" i="6"/>
  <c r="B11" i="6"/>
  <c r="K10" i="6"/>
  <c r="K12" i="7" s="1"/>
  <c r="F10" i="6"/>
  <c r="C10" i="6"/>
  <c r="B10" i="6"/>
  <c r="K9" i="6"/>
  <c r="K11" i="7" s="1"/>
  <c r="F9" i="6"/>
  <c r="C9" i="6"/>
  <c r="B9" i="6"/>
  <c r="K8" i="6"/>
  <c r="K10" i="7" s="1"/>
  <c r="F8" i="6"/>
  <c r="E8" i="6"/>
  <c r="H8" i="6" s="1"/>
  <c r="D8" i="6"/>
  <c r="C8" i="6"/>
  <c r="B8" i="6"/>
  <c r="K7" i="6"/>
  <c r="K9" i="7" s="1"/>
  <c r="F7" i="6"/>
  <c r="C7" i="6"/>
  <c r="B7" i="6"/>
  <c r="K6" i="6"/>
  <c r="L6" i="6" s="1"/>
  <c r="F6" i="6"/>
  <c r="C6" i="6"/>
  <c r="B6" i="6"/>
  <c r="K5" i="6"/>
  <c r="F5" i="6"/>
  <c r="F35" i="6" s="1"/>
  <c r="D10" i="2" s="1"/>
  <c r="C5" i="6"/>
  <c r="B5" i="6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G13" i="6" s="1"/>
  <c r="F19" i="5"/>
  <c r="F18" i="5"/>
  <c r="F17" i="5"/>
  <c r="F16" i="5"/>
  <c r="F15" i="5"/>
  <c r="F14" i="5"/>
  <c r="G6" i="6" s="1"/>
  <c r="F13" i="5"/>
  <c r="F12" i="5"/>
  <c r="G12" i="6" s="1"/>
  <c r="F11" i="5"/>
  <c r="G9" i="6" s="1"/>
  <c r="F10" i="5"/>
  <c r="G8" i="6" s="1"/>
  <c r="F9" i="5"/>
  <c r="F8" i="5"/>
  <c r="G7" i="6" s="1"/>
  <c r="F7" i="5"/>
  <c r="F6" i="5"/>
  <c r="F5" i="5"/>
  <c r="G5" i="6" s="1"/>
  <c r="F304" i="4"/>
  <c r="F303" i="4"/>
  <c r="F302" i="4"/>
  <c r="F301" i="4"/>
  <c r="F300" i="4"/>
  <c r="F299" i="4"/>
  <c r="F298" i="4"/>
  <c r="F297" i="4"/>
  <c r="F296" i="4"/>
  <c r="F295" i="4"/>
  <c r="F294" i="4"/>
  <c r="F293" i="4"/>
  <c r="F292" i="4"/>
  <c r="F291" i="4"/>
  <c r="F290" i="4"/>
  <c r="F289" i="4"/>
  <c r="F288" i="4"/>
  <c r="F287" i="4"/>
  <c r="F286" i="4"/>
  <c r="F285" i="4"/>
  <c r="F284" i="4"/>
  <c r="F283" i="4"/>
  <c r="F282" i="4"/>
  <c r="F281" i="4"/>
  <c r="F280" i="4"/>
  <c r="F279" i="4"/>
  <c r="F278" i="4"/>
  <c r="F277" i="4"/>
  <c r="F276" i="4"/>
  <c r="F275" i="4"/>
  <c r="F274" i="4"/>
  <c r="F273" i="4"/>
  <c r="F272" i="4"/>
  <c r="F271" i="4"/>
  <c r="F270" i="4"/>
  <c r="F269" i="4"/>
  <c r="F268" i="4"/>
  <c r="F267" i="4"/>
  <c r="F266" i="4"/>
  <c r="F265" i="4"/>
  <c r="F264" i="4"/>
  <c r="F263" i="4"/>
  <c r="F262" i="4"/>
  <c r="F261" i="4"/>
  <c r="F260" i="4"/>
  <c r="F259" i="4"/>
  <c r="F258" i="4"/>
  <c r="F257" i="4"/>
  <c r="F256" i="4"/>
  <c r="F255" i="4"/>
  <c r="F254" i="4"/>
  <c r="F253" i="4"/>
  <c r="F252" i="4"/>
  <c r="F251" i="4"/>
  <c r="F250" i="4"/>
  <c r="F249" i="4"/>
  <c r="F248" i="4"/>
  <c r="F247" i="4"/>
  <c r="F246" i="4"/>
  <c r="F245" i="4"/>
  <c r="F244" i="4"/>
  <c r="F243" i="4"/>
  <c r="F242" i="4"/>
  <c r="F241" i="4"/>
  <c r="F240" i="4"/>
  <c r="F239" i="4"/>
  <c r="F238" i="4"/>
  <c r="F237" i="4"/>
  <c r="F236" i="4"/>
  <c r="F235" i="4"/>
  <c r="F234" i="4"/>
  <c r="F233" i="4"/>
  <c r="F232" i="4"/>
  <c r="F231" i="4"/>
  <c r="F230" i="4"/>
  <c r="F229" i="4"/>
  <c r="F228" i="4"/>
  <c r="F227" i="4"/>
  <c r="F226" i="4"/>
  <c r="F225" i="4"/>
  <c r="F224" i="4"/>
  <c r="F223" i="4"/>
  <c r="F222" i="4"/>
  <c r="F221" i="4"/>
  <c r="F220" i="4"/>
  <c r="F219" i="4"/>
  <c r="F218" i="4"/>
  <c r="F217" i="4"/>
  <c r="F216" i="4"/>
  <c r="F215" i="4"/>
  <c r="F214" i="4"/>
  <c r="F213" i="4"/>
  <c r="F212" i="4"/>
  <c r="F211" i="4"/>
  <c r="F210" i="4"/>
  <c r="F209" i="4"/>
  <c r="F208" i="4"/>
  <c r="F207" i="4"/>
  <c r="F206" i="4"/>
  <c r="F205" i="4"/>
  <c r="F204" i="4"/>
  <c r="F203" i="4"/>
  <c r="F202" i="4"/>
  <c r="F201" i="4"/>
  <c r="F200" i="4"/>
  <c r="F199" i="4"/>
  <c r="F198" i="4"/>
  <c r="F197" i="4"/>
  <c r="F196" i="4"/>
  <c r="F195" i="4"/>
  <c r="F194" i="4"/>
  <c r="F193" i="4"/>
  <c r="F192" i="4"/>
  <c r="F191" i="4"/>
  <c r="F190" i="4"/>
  <c r="F189" i="4"/>
  <c r="F188" i="4"/>
  <c r="F187" i="4"/>
  <c r="F186" i="4"/>
  <c r="F185" i="4"/>
  <c r="F184" i="4"/>
  <c r="F183" i="4"/>
  <c r="F182" i="4"/>
  <c r="F181" i="4"/>
  <c r="F180" i="4"/>
  <c r="F179" i="4"/>
  <c r="F178" i="4"/>
  <c r="F177" i="4"/>
  <c r="F176" i="4"/>
  <c r="F175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F152" i="4"/>
  <c r="F151" i="4"/>
  <c r="F150" i="4"/>
  <c r="F149" i="4"/>
  <c r="F148" i="4"/>
  <c r="F147" i="4"/>
  <c r="F146" i="4"/>
  <c r="F145" i="4"/>
  <c r="F144" i="4"/>
  <c r="F143" i="4"/>
  <c r="F142" i="4"/>
  <c r="F141" i="4"/>
  <c r="F140" i="4"/>
  <c r="F139" i="4"/>
  <c r="F138" i="4"/>
  <c r="F137" i="4"/>
  <c r="F136" i="4"/>
  <c r="F135" i="4"/>
  <c r="F134" i="4"/>
  <c r="F133" i="4"/>
  <c r="F132" i="4"/>
  <c r="F131" i="4"/>
  <c r="F130" i="4"/>
  <c r="F129" i="4"/>
  <c r="F128" i="4"/>
  <c r="F127" i="4"/>
  <c r="F126" i="4"/>
  <c r="F125" i="4"/>
  <c r="F124" i="4"/>
  <c r="F123" i="4"/>
  <c r="F122" i="4"/>
  <c r="F121" i="4"/>
  <c r="F120" i="4"/>
  <c r="F119" i="4"/>
  <c r="F118" i="4"/>
  <c r="F117" i="4"/>
  <c r="F116" i="4"/>
  <c r="F115" i="4"/>
  <c r="F114" i="4"/>
  <c r="F113" i="4"/>
  <c r="F112" i="4"/>
  <c r="F111" i="4"/>
  <c r="F110" i="4"/>
  <c r="F109" i="4"/>
  <c r="F108" i="4"/>
  <c r="F107" i="4"/>
  <c r="F106" i="4"/>
  <c r="F105" i="4"/>
  <c r="F104" i="4"/>
  <c r="F103" i="4"/>
  <c r="F102" i="4"/>
  <c r="F101" i="4"/>
  <c r="F100" i="4"/>
  <c r="F99" i="4"/>
  <c r="F98" i="4"/>
  <c r="F97" i="4"/>
  <c r="F96" i="4"/>
  <c r="F95" i="4"/>
  <c r="F94" i="4"/>
  <c r="F93" i="4"/>
  <c r="F92" i="4"/>
  <c r="F91" i="4"/>
  <c r="F90" i="4"/>
  <c r="F89" i="4"/>
  <c r="F88" i="4"/>
  <c r="F87" i="4"/>
  <c r="F86" i="4"/>
  <c r="F85" i="4"/>
  <c r="F84" i="4"/>
  <c r="F83" i="4"/>
  <c r="F82" i="4"/>
  <c r="F81" i="4"/>
  <c r="F80" i="4"/>
  <c r="F79" i="4"/>
  <c r="F78" i="4"/>
  <c r="F77" i="4"/>
  <c r="F76" i="4"/>
  <c r="F75" i="4"/>
  <c r="F74" i="4"/>
  <c r="F73" i="4"/>
  <c r="F72" i="4"/>
  <c r="F71" i="4"/>
  <c r="F70" i="4"/>
  <c r="F69" i="4"/>
  <c r="F68" i="4"/>
  <c r="F67" i="4"/>
  <c r="F66" i="4"/>
  <c r="F65" i="4"/>
  <c r="F64" i="4"/>
  <c r="F63" i="4"/>
  <c r="F62" i="4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E13" i="6" s="1"/>
  <c r="H13" i="6" s="1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E12" i="6" s="1"/>
  <c r="H12" i="6" s="1"/>
  <c r="F11" i="4"/>
  <c r="E11" i="6" s="1"/>
  <c r="F10" i="4"/>
  <c r="E10" i="6" s="1"/>
  <c r="H10" i="6" s="1"/>
  <c r="F9" i="4"/>
  <c r="F8" i="4"/>
  <c r="E6" i="6" s="1"/>
  <c r="H6" i="6" s="1"/>
  <c r="F7" i="4"/>
  <c r="F6" i="4"/>
  <c r="E7" i="6" s="1"/>
  <c r="H7" i="6" s="1"/>
  <c r="I7" i="6" s="1"/>
  <c r="F5" i="4"/>
  <c r="E5" i="6" l="1"/>
  <c r="H5" i="6" s="1"/>
  <c r="E9" i="6"/>
  <c r="H9" i="6" s="1"/>
  <c r="I9" i="6" s="1"/>
  <c r="L11" i="6"/>
  <c r="K14" i="7"/>
  <c r="L13" i="6"/>
  <c r="C35" i="6"/>
  <c r="L10" i="6"/>
  <c r="L9" i="6"/>
  <c r="L27" i="7"/>
  <c r="J7" i="6"/>
  <c r="F12" i="7"/>
  <c r="H12" i="7" s="1"/>
  <c r="G12" i="7"/>
  <c r="I12" i="7" s="1"/>
  <c r="I6" i="6"/>
  <c r="J6" i="6" s="1"/>
  <c r="I5" i="6"/>
  <c r="J5" i="6" s="1"/>
  <c r="L9" i="7"/>
  <c r="L11" i="7"/>
  <c r="L15" i="7"/>
  <c r="F34" i="7"/>
  <c r="H34" i="7" s="1"/>
  <c r="G34" i="7"/>
  <c r="I34" i="7" s="1"/>
  <c r="H11" i="6"/>
  <c r="D11" i="2"/>
  <c r="F30" i="7"/>
  <c r="H30" i="7" s="1"/>
  <c r="G30" i="7"/>
  <c r="I30" i="7" s="1"/>
  <c r="D7" i="8"/>
  <c r="E7" i="8" s="1"/>
  <c r="L8" i="6"/>
  <c r="L16" i="7"/>
  <c r="J16" i="7"/>
  <c r="J20" i="7"/>
  <c r="L20" i="7"/>
  <c r="L24" i="7"/>
  <c r="J24" i="7"/>
  <c r="J27" i="7"/>
  <c r="L28" i="7"/>
  <c r="J28" i="7"/>
  <c r="J32" i="7"/>
  <c r="L32" i="7"/>
  <c r="L36" i="7"/>
  <c r="J36" i="7"/>
  <c r="C8" i="8"/>
  <c r="D5" i="6"/>
  <c r="D6" i="6"/>
  <c r="D7" i="6"/>
  <c r="D10" i="6"/>
  <c r="E7" i="7"/>
  <c r="K8" i="7"/>
  <c r="L8" i="7" s="1"/>
  <c r="G10" i="7"/>
  <c r="I10" i="7" s="1"/>
  <c r="E13" i="7"/>
  <c r="G16" i="7"/>
  <c r="I16" i="7" s="1"/>
  <c r="F17" i="7"/>
  <c r="H17" i="7" s="1"/>
  <c r="G20" i="7"/>
  <c r="I20" i="7" s="1"/>
  <c r="F21" i="7"/>
  <c r="H21" i="7" s="1"/>
  <c r="G24" i="7"/>
  <c r="I24" i="7" s="1"/>
  <c r="F25" i="7"/>
  <c r="H25" i="7" s="1"/>
  <c r="G28" i="7"/>
  <c r="I28" i="7" s="1"/>
  <c r="F29" i="7"/>
  <c r="H29" i="7" s="1"/>
  <c r="G32" i="7"/>
  <c r="I32" i="7" s="1"/>
  <c r="F33" i="7"/>
  <c r="H33" i="7" s="1"/>
  <c r="G36" i="7"/>
  <c r="I36" i="7" s="1"/>
  <c r="D8" i="8"/>
  <c r="D11" i="6"/>
  <c r="L10" i="7"/>
  <c r="I13" i="6"/>
  <c r="J13" i="6" s="1"/>
  <c r="K35" i="6"/>
  <c r="K7" i="7"/>
  <c r="L7" i="6"/>
  <c r="D12" i="6"/>
  <c r="E19" i="7"/>
  <c r="E23" i="7"/>
  <c r="E31" i="7"/>
  <c r="E35" i="7"/>
  <c r="B9" i="8"/>
  <c r="I12" i="6"/>
  <c r="J12" i="6" s="1"/>
  <c r="G11" i="6"/>
  <c r="L5" i="6"/>
  <c r="I8" i="6"/>
  <c r="D9" i="6"/>
  <c r="L18" i="7"/>
  <c r="J18" i="7"/>
  <c r="L22" i="7"/>
  <c r="J22" i="7"/>
  <c r="J26" i="7"/>
  <c r="L26" i="7"/>
  <c r="G11" i="7"/>
  <c r="I11" i="7" s="1"/>
  <c r="G10" i="6"/>
  <c r="J8" i="7"/>
  <c r="G9" i="7"/>
  <c r="I9" i="7" s="1"/>
  <c r="J14" i="7"/>
  <c r="L14" i="7"/>
  <c r="G15" i="7"/>
  <c r="I15" i="7" s="1"/>
  <c r="H35" i="6" l="1"/>
  <c r="G35" i="7"/>
  <c r="I35" i="7" s="1"/>
  <c r="F35" i="7"/>
  <c r="H35" i="7" s="1"/>
  <c r="D12" i="2"/>
  <c r="G23" i="7"/>
  <c r="I23" i="7" s="1"/>
  <c r="F23" i="7"/>
  <c r="H23" i="7" s="1"/>
  <c r="J9" i="7"/>
  <c r="I11" i="6"/>
  <c r="J11" i="6" s="1"/>
  <c r="G19" i="7"/>
  <c r="I19" i="7" s="1"/>
  <c r="F19" i="7"/>
  <c r="H19" i="7" s="1"/>
  <c r="L33" i="7"/>
  <c r="J33" i="7"/>
  <c r="J21" i="7"/>
  <c r="L21" i="7"/>
  <c r="D35" i="6"/>
  <c r="D7" i="2" s="1"/>
  <c r="L30" i="7"/>
  <c r="J30" i="7"/>
  <c r="L34" i="7"/>
  <c r="J34" i="7"/>
  <c r="I10" i="6"/>
  <c r="M10" i="6" s="1"/>
  <c r="J10" i="7"/>
  <c r="G7" i="7"/>
  <c r="I7" i="7" s="1"/>
  <c r="F7" i="7"/>
  <c r="H7" i="7" s="1"/>
  <c r="E8" i="8"/>
  <c r="J8" i="6"/>
  <c r="J15" i="7"/>
  <c r="C9" i="8"/>
  <c r="B10" i="8"/>
  <c r="D9" i="8"/>
  <c r="L29" i="7"/>
  <c r="J29" i="7"/>
  <c r="J17" i="7"/>
  <c r="L17" i="7"/>
  <c r="J9" i="6"/>
  <c r="L12" i="7"/>
  <c r="J12" i="7"/>
  <c r="J11" i="7"/>
  <c r="G31" i="7"/>
  <c r="I31" i="7" s="1"/>
  <c r="F31" i="7"/>
  <c r="H31" i="7" s="1"/>
  <c r="J25" i="7"/>
  <c r="L25" i="7"/>
  <c r="G13" i="7"/>
  <c r="I13" i="7" s="1"/>
  <c r="F13" i="7"/>
  <c r="H13" i="7" s="1"/>
  <c r="G35" i="6"/>
  <c r="D6" i="2" s="1"/>
  <c r="M9" i="6" l="1"/>
  <c r="L19" i="7"/>
  <c r="J19" i="7"/>
  <c r="C17" i="2"/>
  <c r="L7" i="7"/>
  <c r="J7" i="7"/>
  <c r="M8" i="6"/>
  <c r="M13" i="6"/>
  <c r="L23" i="7"/>
  <c r="J23" i="7"/>
  <c r="C10" i="8"/>
  <c r="D10" i="8"/>
  <c r="B11" i="8"/>
  <c r="M7" i="6"/>
  <c r="M5" i="6"/>
  <c r="M6" i="6"/>
  <c r="L31" i="7"/>
  <c r="J31" i="7"/>
  <c r="I35" i="6"/>
  <c r="M12" i="6"/>
  <c r="L35" i="7"/>
  <c r="J35" i="7"/>
  <c r="L13" i="7"/>
  <c r="J13" i="7"/>
  <c r="C16" i="2"/>
  <c r="E9" i="8"/>
  <c r="J10" i="6"/>
  <c r="M11" i="6"/>
  <c r="E10" i="8" l="1"/>
  <c r="D8" i="2"/>
  <c r="J35" i="6"/>
  <c r="D9" i="2" s="1"/>
  <c r="C11" i="8"/>
  <c r="B12" i="8"/>
  <c r="D11" i="8"/>
  <c r="E11" i="8" l="1"/>
  <c r="C12" i="8"/>
  <c r="B13" i="8"/>
  <c r="D12" i="8"/>
  <c r="E12" i="8" l="1"/>
  <c r="C13" i="8"/>
  <c r="D13" i="8"/>
  <c r="B14" i="8"/>
  <c r="C14" i="8" l="1"/>
  <c r="B15" i="8"/>
  <c r="D14" i="8"/>
  <c r="E13" i="8"/>
  <c r="C15" i="8" l="1"/>
  <c r="B16" i="8"/>
  <c r="D15" i="8"/>
  <c r="E14" i="8"/>
  <c r="C16" i="8" l="1"/>
  <c r="B17" i="8"/>
  <c r="D16" i="8"/>
  <c r="E15" i="8"/>
  <c r="C17" i="8" l="1"/>
  <c r="B18" i="8"/>
  <c r="D17" i="8"/>
  <c r="E16" i="8"/>
  <c r="C18" i="8" l="1"/>
  <c r="B19" i="8"/>
  <c r="D18" i="8"/>
  <c r="E17" i="8"/>
  <c r="C19" i="8" l="1"/>
  <c r="D19" i="8"/>
  <c r="B20" i="8"/>
  <c r="E18" i="8"/>
  <c r="C20" i="8" l="1"/>
  <c r="B21" i="8"/>
  <c r="D20" i="8"/>
  <c r="E19" i="8"/>
  <c r="B22" i="8" l="1"/>
  <c r="C21" i="8"/>
  <c r="D21" i="8"/>
  <c r="E20" i="8"/>
  <c r="E21" i="8" l="1"/>
  <c r="C22" i="8"/>
  <c r="B23" i="8"/>
  <c r="D22" i="8"/>
  <c r="B24" i="8" l="1"/>
  <c r="D23" i="8"/>
  <c r="C23" i="8"/>
  <c r="E22" i="8"/>
  <c r="E23" i="8" l="1"/>
  <c r="D24" i="8"/>
  <c r="D25" i="8" s="1"/>
  <c r="C24" i="8"/>
  <c r="E24" i="8" l="1"/>
  <c r="E25" i="8" s="1"/>
  <c r="C25" i="8"/>
</calcChain>
</file>

<file path=xl/sharedStrings.xml><?xml version="1.0" encoding="utf-8"?>
<sst xmlns="http://schemas.openxmlformats.org/spreadsheetml/2006/main" count="166" uniqueCount="96">
  <si>
    <t>دليل استخدام ملف تسيير النشاط والتنبؤ</t>
  </si>
  <si>
    <t>اقرأ هذه الصفحة أولاً قبل البدء</t>
  </si>
  <si>
    <t>1.  أدخل مشترياتك:  افتح شيت «إدخال المشتريات» وأضف كل عملية شراء في صف جديد: التاريخ، اسم المنتج (اختره من القائمة المنسدلة)، الكمية، سعر الشراء للوحدة. عمود الإجمالي يُحسب تلقائياً.</t>
  </si>
  <si>
    <t>2.  أدخل مبيعاتك:  بنفس الطريقة في شيت «إدخال المبيعات». يمكنك إدخال كل عملية بيع، أو تجميع مبيعات اليوم لكل منتج في صف واحد يومياً — كلما كان الإدخال أدق، كانت التقارير والتنبؤ أدق.</t>
  </si>
  <si>
    <t>3.  أضف منتجاً جديداً:  أضفه أولاً في شيت «المنتجات» (الاسم فقط)، وسيظهر تلقائياً في القوائم المنسدلة وباقي التقارير.</t>
  </si>
  <si>
    <t>4.  لا تكتب في الشيتات الأخرى:  شيت «لوحة القيادة» و«تقرير المنتجات» و«التنبؤ وإعادة الطلب» و«التقرير الشهري» محسوبة تلقائياً بالكامل — لا تُدخل فيها بيانات يدوياً.</t>
  </si>
  <si>
    <t>5.  لتغيير الفترة المعروضة:  من شيت «لوحة القيادة»، غيّر خليتي «من تاريخ» و«إلى تاريخ» بالأعلى، وستتحدث كل التقارير المرتبطة بالفترة تلقائياً.</t>
  </si>
  <si>
    <t>6.  حدود إعادة الطلب وتاريخ البداية:  في شيت «المنتجات»، حدد لكل منتج «حد إعادة الطلب» ليظهر تنبيه عند اقتراب النفاد. عمود «تاريخ بداية البيع الفعلي» يُستخدم في حساب التنبؤ بدقة (مُعبّأ مسبقاً للمنتجات الحالية) - لأي منتج جديد اتركه فارغاً وسيُحسب تلقائياً من أول عملية بيع تُدخلها له.</t>
  </si>
  <si>
    <t>7.  الخلايا الصفراء فقط قابلة للتعديل:  أي خلية بخلفية صفراء فاتحة هي خلية إدخال يدوي. باقي الخلايا (البيضاء/الرمادية) تحتوي على معادلات، تجنّب الكتابة فوقها.</t>
  </si>
  <si>
    <t>ملاحظة: بيانات المشتريات المدرجة مسبقاً (18 عملية) وبيانات المبيعات (8 أسطر) هي أرقامك الفعلية من 2026-06-01 إلى 2026-07-28 كنقطة انطلاق — أضف ما بعدها كصفوف جديدة.</t>
  </si>
  <si>
    <t>لوحة القيادة - ملخص الأداء</t>
  </si>
  <si>
    <t>غيّر الفترة أدناه لتحديث كل التقارير المرتبطة بها تلقائياً</t>
  </si>
  <si>
    <t>من تاريخ:</t>
  </si>
  <si>
    <t>إلى تاريخ:</t>
  </si>
  <si>
    <t>إجمالي المبيعات (ضمن الفترة)</t>
  </si>
  <si>
    <t>دج</t>
  </si>
  <si>
    <t>إجمالي المشتريات (ضمن الفترة)</t>
  </si>
  <si>
    <t>الربح التقديري (ضمن الفترة)</t>
  </si>
  <si>
    <t>هامش الربح الإجمالي</t>
  </si>
  <si>
    <t>عدد الوحدات المباعة (ضمن الفترة)</t>
  </si>
  <si>
    <t>وحدة</t>
  </si>
  <si>
    <t>قيمة المخزون الحالي (بسعر الشراء)</t>
  </si>
  <si>
    <t>عدد المنتجات التي تحتاج إعادة طلب</t>
  </si>
  <si>
    <t>منتج</t>
  </si>
  <si>
    <t>أفضل وأضعف منتج من حيث الربح (ضمن الفترة المحددة)</t>
  </si>
  <si>
    <t>الأعلى ربحاً:</t>
  </si>
  <si>
    <t>الأضعف ربحاً:</t>
  </si>
  <si>
    <t>لعرض «كل البيانات» بدون فلترة، اترك من/إلى بالقيم الافتراضية أعلاه. لعرض شهر معين فقط، ضع تاريخ أول وآخر يوم في ذلك الشهر.</t>
  </si>
  <si>
    <t>قائمة المنتجات</t>
  </si>
  <si>
    <t>أضف منتجاً جديداً هنا أولاً قبل استخدامه في المشتريات/المبيعات</t>
  </si>
  <si>
    <t>#</t>
  </si>
  <si>
    <t>اسم المنتج</t>
  </si>
  <si>
    <t>تاريخ بداية البيع الفعلي (اختياري)</t>
  </si>
  <si>
    <t>حد إعادة الطلب (وحدة)</t>
  </si>
  <si>
    <t>ملاحظات</t>
  </si>
  <si>
    <t>عصير جومانة 2ل</t>
  </si>
  <si>
    <t>عصير كين دور 1.25ل</t>
  </si>
  <si>
    <t>عصير مدى 33سل</t>
  </si>
  <si>
    <t>عصير اكسترا 2ل</t>
  </si>
  <si>
    <t>عصير مدى 1.5ل</t>
  </si>
  <si>
    <t>جيليكس 2ل</t>
  </si>
  <si>
    <t>جي اروى 2ل</t>
  </si>
  <si>
    <t>اورنجينا 2 لتر</t>
  </si>
  <si>
    <t>قازوز فرحة 33سل</t>
  </si>
  <si>
    <t>إدخال المشتريات</t>
  </si>
  <si>
    <t>أضف كل عملية شراء في صف جديد — الخلايا الصفراء فقط تُملأ يدوياً</t>
  </si>
  <si>
    <t>التاريخ</t>
  </si>
  <si>
    <t>الكمية</t>
  </si>
  <si>
    <t>سعر الشراء / وحدة</t>
  </si>
  <si>
    <t>الإجمالي (دج)</t>
  </si>
  <si>
    <t>المورد (اختياري)</t>
  </si>
  <si>
    <t>تقديري - غير مذكور في تقرير المشتريات</t>
  </si>
  <si>
    <t>إدخال المبيعات</t>
  </si>
  <si>
    <t>أضف كل عملية بيع (أو مبيعات اليوم لكل منتج) في صف جديد</t>
  </si>
  <si>
    <t>سعر البيع / وحدة</t>
  </si>
  <si>
    <t>العميل (اختياري)</t>
  </si>
  <si>
    <t>دفعة تراكمية (نقطة انطلاق/تحديث) من تقارير POS - وليست عملية بيع واحدة فعلية</t>
  </si>
  <si>
    <t>تقرير الربحية والمخزون حسب المنتج</t>
  </si>
  <si>
    <t>الفترة تُحدَّد من شيت «لوحة القيادة» (خلايا من/إلى تاريخ)</t>
  </si>
  <si>
    <t>المنتج</t>
  </si>
  <si>
    <t>كمية مشتراة (ضمن الفترة)</t>
  </si>
  <si>
    <t>قيمة المشتريات (ضمن الفترة)</t>
  </si>
  <si>
    <t>متوسط سعر الشراء (كل الفترات)</t>
  </si>
  <si>
    <t>كمية مباعة (ضمن الفترة)</t>
  </si>
  <si>
    <t>قيمة المبيعات (ضمن الفترة)</t>
  </si>
  <si>
    <t>تكلفة البضاعة المباعة (تقديرية)</t>
  </si>
  <si>
    <t>الربح التقديري</t>
  </si>
  <si>
    <t>هامش الربح %</t>
  </si>
  <si>
    <t>المخزون الحالي (كل الفترات)</t>
  </si>
  <si>
    <t>حالة المخزون</t>
  </si>
  <si>
    <t>الترتيب حسب الربح</t>
  </si>
  <si>
    <t>الإجمالي</t>
  </si>
  <si>
    <t>-</t>
  </si>
  <si>
    <t>تكلفة البضاعة المباعة تُحسب بمتوسط سعر الشراء المرجّح لكل مشتريات المنتج (كل الفترات)، بينما المخزون الحالي دائماً يُحسب على أساس كل الفترات بغضّ النظر عن فلتر التاريخ أعلاه — لأن المخزون حالة لحظية وليست حركة ضمن فترة.</t>
  </si>
  <si>
    <t>التنبؤ بالمبيعات واقتراح إعادة الطلب</t>
  </si>
  <si>
    <t>التنبؤ مبني على معدل البيع اليومي الفعلي لكل منتج منذ أول عملية بيع له</t>
  </si>
  <si>
    <t>أفق التنبؤ (عدد الأيام القادمة):</t>
  </si>
  <si>
    <t>أول تاريخ بيع</t>
  </si>
  <si>
    <t>آخر تاريخ بيع</t>
  </si>
  <si>
    <t>عدد أيام النشاط</t>
  </si>
  <si>
    <t>معدل المبيعات اليومي (كمية)</t>
  </si>
  <si>
    <t>معدل المبيعات اليومي (قيمة)</t>
  </si>
  <si>
    <t>الكمية المتوقعة خلال الأفق</t>
  </si>
  <si>
    <t>القيمة المتوقعة خلال الأفق</t>
  </si>
  <si>
    <t>الربح المتوقع خلال الأفق</t>
  </si>
  <si>
    <t>المخزون الحالي</t>
  </si>
  <si>
    <t>الكمية المقترح شراؤها</t>
  </si>
  <si>
    <t>المعدل اليومي محسوب من (إجمالي الكمية/القيمة المباعة لكل منتج) ÷ (عدد الأيام منذ أول عملية بيع له حتى آخر عملية بيع مسجلة) - وبذلك يُقارَن كل منتج بعمره الفعلي في السوق وليس بعمر النشاط كله، وهذا يمنح المنتجات المُضافة لاحقاً تقييماً عادلاً.</t>
  </si>
  <si>
    <t>التقرير الشهري - المبيعات والمشتريات</t>
  </si>
  <si>
    <t>مؤشر تدفق نقدي تقريبي شهري (وليس ربحاً دقيقاً - الربح الدقيق حسب المنتج في شيت «تقرير المنتجات»)</t>
  </si>
  <si>
    <t>أول شهر معروض:</t>
  </si>
  <si>
    <t>الشهر</t>
  </si>
  <si>
    <t>مبيعات الشهر (دج)</t>
  </si>
  <si>
    <t>مشتريات الشهر (دج)</t>
  </si>
  <si>
    <t>الفرق (تدفق نقدي تقريبي)</t>
  </si>
  <si>
    <t>هذا الجدول يقارن قيمة المبيعات بقيمة المشتريات في نفس الشهر (تدفق نقدي)، وليس الربح المحاسبي الدقيق - لأن بضاعة مشتراة في شهر قد تُباع في شهر لاحق. للربح الدقيق حسب المنتج، راجع شيت «تقرير المنتجات».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</si>
</sst>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#,##0.0"/>
    <numFmt numFmtId="167" formatCode="yyyy\-mm"/>
  </numFmts>
  <fonts count="14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i/>
      <sz val="10"/>
      <color rgb="FF808080"/>
      <name val="Arial"/>
      <charset val="1"/>
    </font>
    <font>
      <sz val="11"/>
      <color rgb="FF000000"/>
      <name val="Arial"/>
      <charset val="1"/>
    </font>
    <font>
      <b/>
      <sz val="11"/>
      <color rgb="FF000000"/>
      <name val="Arial"/>
      <charset val="1"/>
    </font>
    <font>
      <sz val="11"/>
      <color rgb="FF0000FF"/>
      <name val="Arial"/>
      <charset val="1"/>
    </font>
    <font>
      <b/>
      <sz val="13"/>
      <color rgb="FF1F4E78"/>
      <name val="Arial"/>
      <charset val="1"/>
    </font>
    <font>
      <sz val="9"/>
      <color rgb="FF808080"/>
      <name val="Arial"/>
      <charset val="1"/>
    </font>
    <font>
      <b/>
      <sz val="12"/>
      <color rgb="FF1F4E78"/>
      <name val="Arial"/>
      <charset val="1"/>
    </font>
    <font>
      <i/>
      <sz val="9"/>
      <color rgb="FF808080"/>
      <name val="Arial"/>
      <charset val="1"/>
    </font>
    <font>
      <b/>
      <sz val="11"/>
      <color rgb="FFFFFFFF"/>
      <name val="Arial"/>
      <charset val="1"/>
    </font>
    <font>
      <sz val="9"/>
      <color rgb="FF000000"/>
      <name val="Arial"/>
      <charset val="1"/>
    </font>
    <font>
      <i/>
      <sz val="9"/>
      <color rgb="FFC00000"/>
      <name val="Arial"/>
      <charset val="1"/>
    </font>
    <font>
      <b/>
      <sz val="11"/>
      <color rgb="FFC0000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595959"/>
        <bgColor rgb="FF1F4E78"/>
      </patternFill>
    </fill>
    <fill>
      <patternFill patternType="solid">
        <fgColor rgb="FFFFF2CC"/>
        <bgColor rgb="FFFCE4E4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E4"/>
        <bgColor rgb="FFF2F2F2"/>
      </patternFill>
    </fill>
    <fill>
      <patternFill patternType="solid">
        <fgColor rgb="FFED7D31"/>
        <bgColor rgb="FFFF8080"/>
      </patternFill>
    </fill>
    <fill>
      <patternFill patternType="solid">
        <fgColor rgb="FF1F4E78"/>
        <bgColor rgb="FF003366"/>
      </patternFill>
    </fill>
    <fill>
      <patternFill patternType="solid">
        <fgColor rgb="FFD9D9D9"/>
        <bgColor rgb="FFE2EFDA"/>
      </patternFill>
    </fill>
    <fill>
      <patternFill patternType="solid">
        <fgColor rgb="FF7030A0"/>
        <bgColor rgb="FF993366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4" fillId="2" borderId="2" xfId="0" applyFont="1" applyFill="1" applyBorder="1" applyAlignment="1">
      <alignment horizontal="right" vertical="center" wrapText="1"/>
    </xf>
    <xf numFmtId="0" fontId="9" fillId="0" borderId="0" xfId="0" applyFont="1" applyBorder="1" applyAlignment="1">
      <alignment horizontal="right" vertical="center" wrapText="1"/>
    </xf>
    <xf numFmtId="0" fontId="8" fillId="0" borderId="0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 wrapText="1"/>
    </xf>
    <xf numFmtId="0" fontId="3" fillId="0" borderId="0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right" vertical="center" wrapText="1"/>
    </xf>
    <xf numFmtId="164" fontId="5" fillId="3" borderId="2" xfId="0" applyNumberFormat="1" applyFont="1" applyFill="1" applyBorder="1" applyAlignment="1">
      <alignment horizontal="center" vertical="center" wrapText="1"/>
    </xf>
    <xf numFmtId="3" fontId="6" fillId="4" borderId="2" xfId="0" applyNumberFormat="1" applyFont="1" applyFill="1" applyBorder="1" applyAlignment="1">
      <alignment horizontal="center" vertical="center" wrapText="1"/>
    </xf>
    <xf numFmtId="0" fontId="7" fillId="4" borderId="0" xfId="0" applyFont="1" applyFill="1" applyBorder="1" applyAlignment="1">
      <alignment horizontal="center" vertical="center" wrapText="1"/>
    </xf>
    <xf numFmtId="3" fontId="6" fillId="0" borderId="2" xfId="0" applyNumberFormat="1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165" fontId="6" fillId="0" borderId="2" xfId="0" applyNumberFormat="1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right" vertical="center" wrapText="1"/>
    </xf>
    <xf numFmtId="0" fontId="4" fillId="6" borderId="2" xfId="0" applyFont="1" applyFill="1" applyBorder="1" applyAlignment="1">
      <alignment horizontal="right" vertical="center" wrapText="1"/>
    </xf>
    <xf numFmtId="0" fontId="9" fillId="0" borderId="0" xfId="0" applyFont="1" applyBorder="1" applyAlignment="1">
      <alignment horizontal="right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10" fillId="7" borderId="2" xfId="0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right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right" vertical="center" wrapText="1"/>
    </xf>
    <xf numFmtId="164" fontId="3" fillId="3" borderId="2" xfId="0" applyNumberFormat="1" applyFont="1" applyFill="1" applyBorder="1" applyAlignment="1">
      <alignment horizontal="center" vertical="center" wrapText="1"/>
    </xf>
    <xf numFmtId="3" fontId="3" fillId="3" borderId="2" xfId="0" applyNumberFormat="1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4" fontId="5" fillId="3" borderId="2" xfId="0" applyNumberFormat="1" applyFont="1" applyFill="1" applyBorder="1" applyAlignment="1">
      <alignment horizontal="center" vertical="center" wrapText="1"/>
    </xf>
    <xf numFmtId="0" fontId="9" fillId="4" borderId="0" xfId="0" applyFont="1" applyFill="1" applyBorder="1" applyAlignment="1">
      <alignment horizontal="right" vertical="center" wrapText="1"/>
    </xf>
    <xf numFmtId="4" fontId="3" fillId="3" borderId="2" xfId="0" applyNumberFormat="1" applyFont="1" applyFill="1" applyBorder="1" applyAlignment="1">
      <alignment horizontal="center" vertical="center" wrapText="1"/>
    </xf>
    <xf numFmtId="4" fontId="3" fillId="4" borderId="2" xfId="0" applyNumberFormat="1" applyFont="1" applyFill="1" applyBorder="1" applyAlignment="1">
      <alignment horizontal="center" vertical="center" wrapText="1"/>
    </xf>
    <xf numFmtId="3" fontId="4" fillId="4" borderId="2" xfId="0" applyNumberFormat="1" applyFont="1" applyFill="1" applyBorder="1" applyAlignment="1">
      <alignment horizontal="center" vertical="center" wrapText="1"/>
    </xf>
    <xf numFmtId="165" fontId="3" fillId="4" borderId="2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3" fontId="4" fillId="9" borderId="2" xfId="0" applyNumberFormat="1" applyFont="1" applyFill="1" applyBorder="1" applyAlignment="1">
      <alignment horizontal="center" vertical="center" wrapText="1"/>
    </xf>
    <xf numFmtId="165" fontId="4" fillId="9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166" fontId="3" fillId="4" borderId="2" xfId="0" applyNumberFormat="1" applyFont="1" applyFill="1" applyBorder="1" applyAlignment="1">
      <alignment horizontal="center" vertical="center" wrapText="1"/>
    </xf>
    <xf numFmtId="3" fontId="13" fillId="4" borderId="2" xfId="0" applyNumberFormat="1" applyFont="1" applyFill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6" fontId="3" fillId="0" borderId="2" xfId="0" applyNumberFormat="1" applyFont="1" applyBorder="1" applyAlignment="1">
      <alignment horizontal="center" vertical="center" wrapText="1"/>
    </xf>
    <xf numFmtId="3" fontId="13" fillId="0" borderId="2" xfId="0" applyNumberFormat="1" applyFont="1" applyBorder="1" applyAlignment="1">
      <alignment horizontal="center" vertical="center" wrapText="1"/>
    </xf>
    <xf numFmtId="167" fontId="5" fillId="3" borderId="2" xfId="0" applyNumberFormat="1" applyFont="1" applyFill="1" applyBorder="1" applyAlignment="1">
      <alignment horizontal="center" vertical="center" wrapText="1"/>
    </xf>
    <xf numFmtId="167" fontId="4" fillId="4" borderId="2" xfId="0" applyNumberFormat="1" applyFont="1" applyFill="1" applyBorder="1" applyAlignment="1">
      <alignment horizontal="center" vertical="center" wrapText="1"/>
    </xf>
    <xf numFmtId="167" fontId="4" fillId="0" borderId="2" xfId="0" applyNumberFormat="1" applyFont="1" applyBorder="1" applyAlignment="1">
      <alignment horizontal="center" vertical="center" wrapText="1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27"/>
  <sheetViews>
    <sheetView showGridLines="0" rightToLeft="1" topLeftCell="A13" zoomScaleNormal="100" workbookViewId="0"/>
  </sheetViews>
  <sheetFormatPr defaultColWidth="8.6640625" defaultRowHeight="14.4" x14ac:dyDescent="0.3"/>
  <cols>
    <col min="1" max="1" width="3" customWidth="1"/>
    <col min="2" max="8" width="14" customWidth="1"/>
  </cols>
  <sheetData>
    <row r="1" spans="2:8" ht="21" x14ac:dyDescent="0.3">
      <c r="B1" s="9" t="s">
        <v>0</v>
      </c>
      <c r="C1" s="9"/>
      <c r="D1" s="9"/>
      <c r="E1" s="9"/>
      <c r="F1" s="9"/>
      <c r="G1" s="9"/>
      <c r="H1" s="9"/>
    </row>
    <row r="2" spans="2:8" x14ac:dyDescent="0.3">
      <c r="B2" s="8" t="s">
        <v>1</v>
      </c>
      <c r="C2" s="8"/>
      <c r="D2" s="8"/>
      <c r="E2" s="8"/>
      <c r="F2" s="8"/>
      <c r="G2" s="8"/>
      <c r="H2" s="8"/>
    </row>
    <row r="4" spans="2:8" ht="15" customHeight="1" x14ac:dyDescent="0.3">
      <c r="B4" s="7" t="s">
        <v>2</v>
      </c>
      <c r="C4" s="7"/>
      <c r="D4" s="7"/>
      <c r="E4" s="7"/>
      <c r="F4" s="7"/>
      <c r="G4" s="7"/>
      <c r="H4" s="7"/>
    </row>
    <row r="5" spans="2:8" x14ac:dyDescent="0.3">
      <c r="B5" s="7"/>
      <c r="C5" s="7"/>
      <c r="D5" s="7"/>
      <c r="E5" s="7"/>
      <c r="F5" s="7"/>
      <c r="G5" s="7"/>
      <c r="H5" s="7"/>
    </row>
    <row r="7" spans="2:8" ht="15" customHeight="1" x14ac:dyDescent="0.3">
      <c r="B7" s="7" t="s">
        <v>3</v>
      </c>
      <c r="C7" s="7"/>
      <c r="D7" s="7"/>
      <c r="E7" s="7"/>
      <c r="F7" s="7"/>
      <c r="G7" s="7"/>
      <c r="H7" s="7"/>
    </row>
    <row r="8" spans="2:8" x14ac:dyDescent="0.3">
      <c r="B8" s="7"/>
      <c r="C8" s="7"/>
      <c r="D8" s="7"/>
      <c r="E8" s="7"/>
      <c r="F8" s="7"/>
      <c r="G8" s="7"/>
      <c r="H8" s="7"/>
    </row>
    <row r="10" spans="2:8" ht="15" customHeight="1" x14ac:dyDescent="0.3">
      <c r="B10" s="7" t="s">
        <v>4</v>
      </c>
      <c r="C10" s="7"/>
      <c r="D10" s="7"/>
      <c r="E10" s="7"/>
      <c r="F10" s="7"/>
      <c r="G10" s="7"/>
      <c r="H10" s="7"/>
    </row>
    <row r="11" spans="2:8" x14ac:dyDescent="0.3">
      <c r="B11" s="7"/>
      <c r="C11" s="7"/>
      <c r="D11" s="7"/>
      <c r="E11" s="7"/>
      <c r="F11" s="7"/>
      <c r="G11" s="7"/>
      <c r="H11" s="7"/>
    </row>
    <row r="13" spans="2:8" ht="15" customHeight="1" x14ac:dyDescent="0.3">
      <c r="B13" s="7" t="s">
        <v>5</v>
      </c>
      <c r="C13" s="7"/>
      <c r="D13" s="7"/>
      <c r="E13" s="7"/>
      <c r="F13" s="7"/>
      <c r="G13" s="7"/>
      <c r="H13" s="7"/>
    </row>
    <row r="14" spans="2:8" x14ac:dyDescent="0.3">
      <c r="B14" s="7"/>
      <c r="C14" s="7"/>
      <c r="D14" s="7"/>
      <c r="E14" s="7"/>
      <c r="F14" s="7"/>
      <c r="G14" s="7"/>
      <c r="H14" s="7"/>
    </row>
    <row r="16" spans="2:8" ht="15" customHeight="1" x14ac:dyDescent="0.3">
      <c r="B16" s="7" t="s">
        <v>6</v>
      </c>
      <c r="C16" s="7"/>
      <c r="D16" s="7"/>
      <c r="E16" s="7"/>
      <c r="F16" s="7"/>
      <c r="G16" s="7"/>
      <c r="H16" s="7"/>
    </row>
    <row r="17" spans="2:8" x14ac:dyDescent="0.3">
      <c r="B17" s="7"/>
      <c r="C17" s="7"/>
      <c r="D17" s="7"/>
      <c r="E17" s="7"/>
      <c r="F17" s="7"/>
      <c r="G17" s="7"/>
      <c r="H17" s="7"/>
    </row>
    <row r="19" spans="2:8" ht="15" customHeight="1" x14ac:dyDescent="0.3">
      <c r="B19" s="7" t="s">
        <v>7</v>
      </c>
      <c r="C19" s="7"/>
      <c r="D19" s="7"/>
      <c r="E19" s="7"/>
      <c r="F19" s="7"/>
      <c r="G19" s="7"/>
      <c r="H19" s="7"/>
    </row>
    <row r="20" spans="2:8" x14ac:dyDescent="0.3">
      <c r="B20" s="7"/>
      <c r="C20" s="7"/>
      <c r="D20" s="7"/>
      <c r="E20" s="7"/>
      <c r="F20" s="7"/>
      <c r="G20" s="7"/>
      <c r="H20" s="7"/>
    </row>
    <row r="22" spans="2:8" ht="15" customHeight="1" x14ac:dyDescent="0.3">
      <c r="B22" s="7" t="s">
        <v>8</v>
      </c>
      <c r="C22" s="7"/>
      <c r="D22" s="7"/>
      <c r="E22" s="7"/>
      <c r="F22" s="7"/>
      <c r="G22" s="7"/>
      <c r="H22" s="7"/>
    </row>
    <row r="23" spans="2:8" x14ac:dyDescent="0.3">
      <c r="B23" s="7"/>
      <c r="C23" s="7"/>
      <c r="D23" s="7"/>
      <c r="E23" s="7"/>
      <c r="F23" s="7"/>
      <c r="G23" s="7"/>
      <c r="H23" s="7"/>
    </row>
    <row r="26" spans="2:8" ht="15" customHeight="1" x14ac:dyDescent="0.3">
      <c r="B26" s="6" t="s">
        <v>9</v>
      </c>
      <c r="C26" s="6"/>
      <c r="D26" s="6"/>
      <c r="E26" s="6"/>
      <c r="F26" s="6"/>
      <c r="G26" s="6"/>
      <c r="H26" s="6"/>
    </row>
    <row r="27" spans="2:8" x14ac:dyDescent="0.3">
      <c r="B27" s="6"/>
      <c r="C27" s="6"/>
      <c r="D27" s="6"/>
      <c r="E27" s="6"/>
      <c r="F27" s="6"/>
      <c r="G27" s="6"/>
      <c r="H27" s="6"/>
    </row>
  </sheetData>
  <mergeCells count="10">
    <mergeCell ref="B13:H14"/>
    <mergeCell ref="B16:H17"/>
    <mergeCell ref="B19:H20"/>
    <mergeCell ref="B22:H23"/>
    <mergeCell ref="B26:H27"/>
    <mergeCell ref="B1:H1"/>
    <mergeCell ref="B2:H2"/>
    <mergeCell ref="B4:H5"/>
    <mergeCell ref="B7:H8"/>
    <mergeCell ref="B10:H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19"/>
  <sheetViews>
    <sheetView showGridLines="0" rightToLeft="1" zoomScaleNormal="100" workbookViewId="0">
      <selection activeCell="D12" sqref="D12"/>
    </sheetView>
  </sheetViews>
  <sheetFormatPr defaultColWidth="8.6640625" defaultRowHeight="14.4" x14ac:dyDescent="0.3"/>
  <cols>
    <col min="1" max="1" width="3" customWidth="1"/>
    <col min="2" max="2" width="26" customWidth="1"/>
    <col min="3" max="3" width="24" customWidth="1"/>
    <col min="4" max="4" width="16" customWidth="1"/>
    <col min="5" max="5" width="11.21875" bestFit="1" customWidth="1"/>
    <col min="6" max="6" width="10" customWidth="1"/>
  </cols>
  <sheetData>
    <row r="1" spans="2:6" ht="21" x14ac:dyDescent="0.3">
      <c r="B1" s="9" t="s">
        <v>10</v>
      </c>
      <c r="C1" s="9"/>
      <c r="D1" s="9"/>
      <c r="E1" s="9"/>
      <c r="F1" s="9"/>
    </row>
    <row r="2" spans="2:6" x14ac:dyDescent="0.3">
      <c r="B2" s="8" t="s">
        <v>11</v>
      </c>
      <c r="C2" s="8"/>
      <c r="D2" s="8"/>
      <c r="E2" s="8"/>
      <c r="F2" s="8"/>
    </row>
    <row r="4" spans="2:6" x14ac:dyDescent="0.3">
      <c r="B4" s="10" t="s">
        <v>12</v>
      </c>
      <c r="C4" s="11">
        <v>46023</v>
      </c>
      <c r="D4" s="10" t="s">
        <v>13</v>
      </c>
      <c r="E4" s="11">
        <v>47848</v>
      </c>
    </row>
    <row r="6" spans="2:6" ht="16.2" customHeight="1" x14ac:dyDescent="0.3">
      <c r="B6" s="5" t="s">
        <v>14</v>
      </c>
      <c r="C6" s="5"/>
      <c r="D6" s="12">
        <f>'تقرير المنتجات'!$G$35</f>
        <v>2574553.33</v>
      </c>
      <c r="E6" s="13" t="s">
        <v>15</v>
      </c>
    </row>
    <row r="7" spans="2:6" ht="16.2" customHeight="1" x14ac:dyDescent="0.3">
      <c r="B7" s="4" t="s">
        <v>16</v>
      </c>
      <c r="C7" s="4"/>
      <c r="D7" s="14">
        <f>'تقرير المنتجات'!$D$35</f>
        <v>3185390</v>
      </c>
      <c r="E7" s="15" t="s">
        <v>15</v>
      </c>
    </row>
    <row r="8" spans="2:6" ht="16.2" customHeight="1" x14ac:dyDescent="0.3">
      <c r="B8" s="5" t="s">
        <v>17</v>
      </c>
      <c r="C8" s="5"/>
      <c r="D8" s="12">
        <f>'تقرير المنتجات'!$I$35</f>
        <v>351283.01749999996</v>
      </c>
      <c r="E8" s="13" t="s">
        <v>15</v>
      </c>
    </row>
    <row r="9" spans="2:6" ht="16.2" customHeight="1" x14ac:dyDescent="0.3">
      <c r="B9" s="4" t="s">
        <v>18</v>
      </c>
      <c r="C9" s="4"/>
      <c r="D9" s="16">
        <f>'تقرير المنتجات'!$J$35</f>
        <v>0.13644425749766853</v>
      </c>
      <c r="E9" s="15"/>
    </row>
    <row r="10" spans="2:6" ht="16.2" customHeight="1" x14ac:dyDescent="0.3">
      <c r="B10" s="5" t="s">
        <v>19</v>
      </c>
      <c r="C10" s="5"/>
      <c r="D10" s="12">
        <f>'تقرير المنتجات'!$F$35</f>
        <v>5149</v>
      </c>
      <c r="E10" s="13" t="s">
        <v>20</v>
      </c>
    </row>
    <row r="11" spans="2:6" ht="16.2" customHeight="1" x14ac:dyDescent="0.3">
      <c r="B11" s="4" t="s">
        <v>21</v>
      </c>
      <c r="C11" s="4"/>
      <c r="D11" s="14">
        <f>SUMPRODUCT(IFERROR('تقرير المنتجات'!$K$5:$K$34*1,0),IFERROR('تقرير المنتجات'!$E$5:$E$34,0))</f>
        <v>170885</v>
      </c>
      <c r="E11" s="15" t="s">
        <v>15</v>
      </c>
    </row>
    <row r="12" spans="2:6" ht="16.2" customHeight="1" x14ac:dyDescent="0.3">
      <c r="B12" s="5" t="s">
        <v>22</v>
      </c>
      <c r="C12" s="5"/>
      <c r="D12" s="12">
        <f>COUNTIF('تقرير المنتجات'!$L$5:$L$34,"⚠ أعد الطلب")</f>
        <v>3</v>
      </c>
      <c r="E12" s="13" t="s">
        <v>23</v>
      </c>
    </row>
    <row r="15" spans="2:6" ht="15" customHeight="1" x14ac:dyDescent="0.3">
      <c r="B15" s="3" t="s">
        <v>24</v>
      </c>
      <c r="C15" s="3"/>
      <c r="D15" s="3"/>
      <c r="E15" s="3"/>
    </row>
    <row r="16" spans="2:6" x14ac:dyDescent="0.3">
      <c r="B16" s="17" t="s">
        <v>25</v>
      </c>
      <c r="C16" s="17" t="str">
        <f>INDEX('تقرير المنتجات'!$B$5:$B$34,MATCH(MAX('تقرير المنتجات'!$I$5:$I$34),'تقرير المنتجات'!$I$5:$I$34,0))</f>
        <v>عصير جومانة 2ل</v>
      </c>
    </row>
    <row r="17" spans="2:6" x14ac:dyDescent="0.3">
      <c r="B17" s="18" t="s">
        <v>26</v>
      </c>
      <c r="C17" s="18" t="str">
        <f>INDEX('تقرير المنتجات'!$B$5:$B$34,MATCH(MIN('تقرير المنتجات'!$I$5:$I$34),'تقرير المنتجات'!$I$5:$I$34,0))</f>
        <v>قازوز فرحة 33سل</v>
      </c>
    </row>
    <row r="19" spans="2:6" ht="15" customHeight="1" x14ac:dyDescent="0.3">
      <c r="B19" s="2" t="s">
        <v>27</v>
      </c>
      <c r="C19" s="2"/>
      <c r="D19" s="2"/>
      <c r="E19" s="2"/>
      <c r="F19" s="2"/>
    </row>
  </sheetData>
  <mergeCells count="11">
    <mergeCell ref="B19:F19"/>
    <mergeCell ref="B9:C9"/>
    <mergeCell ref="B10:C10"/>
    <mergeCell ref="B11:C11"/>
    <mergeCell ref="B12:C12"/>
    <mergeCell ref="B15:E15"/>
    <mergeCell ref="B1:F1"/>
    <mergeCell ref="B2:F2"/>
    <mergeCell ref="B6:C6"/>
    <mergeCell ref="B7:C7"/>
    <mergeCell ref="B8:C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34"/>
  <sheetViews>
    <sheetView showGridLines="0" rightToLeft="1" zoomScaleNormal="100" workbookViewId="0">
      <selection activeCell="D13" sqref="D13"/>
    </sheetView>
  </sheetViews>
  <sheetFormatPr defaultColWidth="8.6640625" defaultRowHeight="14.4" x14ac:dyDescent="0.3"/>
  <cols>
    <col min="1" max="1" width="3" customWidth="1"/>
    <col min="2" max="2" width="5" customWidth="1"/>
    <col min="3" max="3" width="24" customWidth="1"/>
    <col min="4" max="4" width="20" customWidth="1"/>
    <col min="5" max="5" width="16" customWidth="1"/>
    <col min="6" max="6" width="24" customWidth="1"/>
  </cols>
  <sheetData>
    <row r="1" spans="2:6" ht="21" x14ac:dyDescent="0.3">
      <c r="B1" s="9" t="s">
        <v>28</v>
      </c>
      <c r="C1" s="9"/>
      <c r="D1" s="9"/>
      <c r="E1" s="9"/>
    </row>
    <row r="2" spans="2:6" x14ac:dyDescent="0.3">
      <c r="B2" s="8" t="s">
        <v>29</v>
      </c>
      <c r="C2" s="8"/>
      <c r="D2" s="8"/>
      <c r="E2" s="8"/>
    </row>
    <row r="4" spans="2:6" ht="27.6" x14ac:dyDescent="0.3">
      <c r="B4" s="20" t="s">
        <v>30</v>
      </c>
      <c r="C4" s="20" t="s">
        <v>31</v>
      </c>
      <c r="D4" s="20" t="s">
        <v>32</v>
      </c>
      <c r="E4" s="20" t="s">
        <v>33</v>
      </c>
      <c r="F4" s="20" t="s">
        <v>34</v>
      </c>
    </row>
    <row r="5" spans="2:6" x14ac:dyDescent="0.3">
      <c r="B5" s="21">
        <v>1</v>
      </c>
      <c r="C5" s="22" t="s">
        <v>35</v>
      </c>
      <c r="D5" s="11">
        <v>46198</v>
      </c>
      <c r="E5" s="23">
        <v>50</v>
      </c>
      <c r="F5" s="24"/>
    </row>
    <row r="6" spans="2:6" x14ac:dyDescent="0.3">
      <c r="B6" s="25">
        <v>2</v>
      </c>
      <c r="C6" s="26" t="s">
        <v>36</v>
      </c>
      <c r="D6" s="11">
        <v>46198</v>
      </c>
      <c r="E6" s="23">
        <v>50</v>
      </c>
      <c r="F6" s="24"/>
    </row>
    <row r="7" spans="2:6" x14ac:dyDescent="0.3">
      <c r="B7" s="21">
        <v>3</v>
      </c>
      <c r="C7" s="22" t="s">
        <v>37</v>
      </c>
      <c r="D7" s="11">
        <v>46198</v>
      </c>
      <c r="E7" s="23">
        <v>50</v>
      </c>
      <c r="F7" s="24"/>
    </row>
    <row r="8" spans="2:6" x14ac:dyDescent="0.3">
      <c r="B8" s="25">
        <v>4</v>
      </c>
      <c r="C8" s="26" t="s">
        <v>38</v>
      </c>
      <c r="D8" s="11">
        <v>46198</v>
      </c>
      <c r="E8" s="23">
        <v>50</v>
      </c>
      <c r="F8" s="24"/>
    </row>
    <row r="9" spans="2:6" x14ac:dyDescent="0.3">
      <c r="B9" s="21">
        <v>5</v>
      </c>
      <c r="C9" s="22" t="s">
        <v>39</v>
      </c>
      <c r="D9" s="11">
        <v>46198</v>
      </c>
      <c r="E9" s="23">
        <v>50</v>
      </c>
      <c r="F9" s="24"/>
    </row>
    <row r="10" spans="2:6" x14ac:dyDescent="0.3">
      <c r="B10" s="25">
        <v>6</v>
      </c>
      <c r="C10" s="26" t="s">
        <v>40</v>
      </c>
      <c r="D10" s="11">
        <v>46214</v>
      </c>
      <c r="E10" s="23">
        <v>50</v>
      </c>
      <c r="F10" s="24"/>
    </row>
    <row r="11" spans="2:6" x14ac:dyDescent="0.3">
      <c r="B11" s="21">
        <v>7</v>
      </c>
      <c r="C11" s="22" t="s">
        <v>41</v>
      </c>
      <c r="D11" s="11">
        <v>46216</v>
      </c>
      <c r="E11" s="23">
        <v>50</v>
      </c>
      <c r="F11" s="24"/>
    </row>
    <row r="12" spans="2:6" x14ac:dyDescent="0.3">
      <c r="B12" s="25">
        <v>8</v>
      </c>
      <c r="C12" s="26" t="s">
        <v>42</v>
      </c>
      <c r="D12" s="11">
        <v>46216</v>
      </c>
      <c r="E12" s="23">
        <v>50</v>
      </c>
      <c r="F12" s="24"/>
    </row>
    <row r="13" spans="2:6" x14ac:dyDescent="0.3">
      <c r="B13" s="21">
        <v>9</v>
      </c>
      <c r="C13" s="22" t="s">
        <v>43</v>
      </c>
      <c r="D13" s="11">
        <v>46234</v>
      </c>
      <c r="E13" s="23">
        <v>50</v>
      </c>
      <c r="F13" s="24"/>
    </row>
    <row r="14" spans="2:6" x14ac:dyDescent="0.3">
      <c r="B14" s="25">
        <v>10</v>
      </c>
      <c r="C14" s="24"/>
      <c r="D14" s="11"/>
      <c r="E14" s="23"/>
      <c r="F14" s="24"/>
    </row>
    <row r="15" spans="2:6" x14ac:dyDescent="0.3">
      <c r="B15" s="21">
        <v>11</v>
      </c>
      <c r="C15" s="24"/>
      <c r="D15" s="11"/>
      <c r="E15" s="23"/>
      <c r="F15" s="24"/>
    </row>
    <row r="16" spans="2:6" x14ac:dyDescent="0.3">
      <c r="B16" s="25">
        <v>12</v>
      </c>
      <c r="C16" s="24"/>
      <c r="D16" s="11"/>
      <c r="E16" s="23"/>
      <c r="F16" s="24"/>
    </row>
    <row r="17" spans="2:6" x14ac:dyDescent="0.3">
      <c r="B17" s="21">
        <v>13</v>
      </c>
      <c r="C17" s="24"/>
      <c r="D17" s="11"/>
      <c r="E17" s="23"/>
      <c r="F17" s="24"/>
    </row>
    <row r="18" spans="2:6" x14ac:dyDescent="0.3">
      <c r="B18" s="25">
        <v>14</v>
      </c>
      <c r="C18" s="24"/>
      <c r="D18" s="11"/>
      <c r="E18" s="23"/>
      <c r="F18" s="24"/>
    </row>
    <row r="19" spans="2:6" x14ac:dyDescent="0.3">
      <c r="B19" s="21">
        <v>15</v>
      </c>
      <c r="C19" s="24"/>
      <c r="D19" s="11"/>
      <c r="E19" s="23"/>
      <c r="F19" s="24"/>
    </row>
    <row r="20" spans="2:6" x14ac:dyDescent="0.3">
      <c r="B20" s="25">
        <v>16</v>
      </c>
      <c r="C20" s="24"/>
      <c r="D20" s="11"/>
      <c r="E20" s="23"/>
      <c r="F20" s="24"/>
    </row>
    <row r="21" spans="2:6" x14ac:dyDescent="0.3">
      <c r="B21" s="21">
        <v>17</v>
      </c>
      <c r="C21" s="24"/>
      <c r="D21" s="11"/>
      <c r="E21" s="23"/>
      <c r="F21" s="24"/>
    </row>
    <row r="22" spans="2:6" x14ac:dyDescent="0.3">
      <c r="B22" s="25">
        <v>18</v>
      </c>
      <c r="C22" s="24"/>
      <c r="D22" s="11"/>
      <c r="E22" s="23"/>
      <c r="F22" s="24"/>
    </row>
    <row r="23" spans="2:6" x14ac:dyDescent="0.3">
      <c r="B23" s="21">
        <v>19</v>
      </c>
      <c r="C23" s="24"/>
      <c r="D23" s="11"/>
      <c r="E23" s="23"/>
      <c r="F23" s="24"/>
    </row>
    <row r="24" spans="2:6" x14ac:dyDescent="0.3">
      <c r="B24" s="25">
        <v>20</v>
      </c>
      <c r="C24" s="24"/>
      <c r="D24" s="11"/>
      <c r="E24" s="23"/>
      <c r="F24" s="24"/>
    </row>
    <row r="25" spans="2:6" x14ac:dyDescent="0.3">
      <c r="B25" s="21">
        <v>21</v>
      </c>
      <c r="C25" s="24"/>
      <c r="D25" s="11"/>
      <c r="E25" s="23"/>
      <c r="F25" s="24"/>
    </row>
    <row r="26" spans="2:6" x14ac:dyDescent="0.3">
      <c r="B26" s="25">
        <v>22</v>
      </c>
      <c r="C26" s="24"/>
      <c r="D26" s="11"/>
      <c r="E26" s="23"/>
      <c r="F26" s="24"/>
    </row>
    <row r="27" spans="2:6" x14ac:dyDescent="0.3">
      <c r="B27" s="21">
        <v>23</v>
      </c>
      <c r="C27" s="24"/>
      <c r="D27" s="11"/>
      <c r="E27" s="23"/>
      <c r="F27" s="24"/>
    </row>
    <row r="28" spans="2:6" x14ac:dyDescent="0.3">
      <c r="B28" s="25">
        <v>24</v>
      </c>
      <c r="C28" s="24"/>
      <c r="D28" s="11"/>
      <c r="E28" s="23"/>
      <c r="F28" s="24"/>
    </row>
    <row r="29" spans="2:6" x14ac:dyDescent="0.3">
      <c r="B29" s="21">
        <v>25</v>
      </c>
      <c r="C29" s="24"/>
      <c r="D29" s="11"/>
      <c r="E29" s="23"/>
      <c r="F29" s="24"/>
    </row>
    <row r="30" spans="2:6" x14ac:dyDescent="0.3">
      <c r="B30" s="25">
        <v>26</v>
      </c>
      <c r="C30" s="24"/>
      <c r="D30" s="11"/>
      <c r="E30" s="23"/>
      <c r="F30" s="24"/>
    </row>
    <row r="31" spans="2:6" x14ac:dyDescent="0.3">
      <c r="B31" s="21">
        <v>27</v>
      </c>
      <c r="C31" s="24"/>
      <c r="D31" s="11"/>
      <c r="E31" s="23"/>
      <c r="F31" s="24"/>
    </row>
    <row r="32" spans="2:6" x14ac:dyDescent="0.3">
      <c r="B32" s="25">
        <v>28</v>
      </c>
      <c r="C32" s="24"/>
      <c r="D32" s="11"/>
      <c r="E32" s="23"/>
      <c r="F32" s="24"/>
    </row>
    <row r="33" spans="2:6" x14ac:dyDescent="0.3">
      <c r="B33" s="21">
        <v>29</v>
      </c>
      <c r="C33" s="24"/>
      <c r="D33" s="11"/>
      <c r="E33" s="23"/>
      <c r="F33" s="24"/>
    </row>
    <row r="34" spans="2:6" x14ac:dyDescent="0.3">
      <c r="B34" s="25">
        <v>30</v>
      </c>
      <c r="C34" s="24"/>
      <c r="D34" s="11"/>
      <c r="E34" s="23"/>
      <c r="F34" s="24"/>
    </row>
  </sheetData>
  <mergeCells count="2">
    <mergeCell ref="B1:E1"/>
    <mergeCell ref="B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304"/>
  <sheetViews>
    <sheetView showGridLines="0" rightToLeft="1" zoomScaleNormal="100" workbookViewId="0">
      <pane xSplit="1" ySplit="4" topLeftCell="B11" activePane="bottomRight" state="frozen"/>
      <selection pane="topRight" activeCell="B1" sqref="B1"/>
      <selection pane="bottomLeft" activeCell="A5" sqref="A5"/>
      <selection pane="bottomRight" activeCell="B10" sqref="B10:F10"/>
    </sheetView>
  </sheetViews>
  <sheetFormatPr defaultColWidth="8.6640625" defaultRowHeight="14.4" x14ac:dyDescent="0.3"/>
  <cols>
    <col min="1" max="1" width="3" customWidth="1"/>
    <col min="2" max="2" width="13" customWidth="1"/>
    <col min="3" max="3" width="22" customWidth="1"/>
    <col min="4" max="4" width="10" customWidth="1"/>
    <col min="5" max="5" width="15" customWidth="1"/>
    <col min="6" max="6" width="14" customWidth="1"/>
    <col min="7" max="7" width="16" customWidth="1"/>
  </cols>
  <sheetData>
    <row r="1" spans="2:7" ht="21" x14ac:dyDescent="0.3">
      <c r="B1" s="9" t="s">
        <v>44</v>
      </c>
      <c r="C1" s="9"/>
      <c r="D1" s="9"/>
      <c r="E1" s="9"/>
      <c r="F1" s="9"/>
    </row>
    <row r="2" spans="2:7" x14ac:dyDescent="0.3">
      <c r="B2" s="8" t="s">
        <v>45</v>
      </c>
      <c r="C2" s="8"/>
      <c r="D2" s="8"/>
      <c r="E2" s="8"/>
      <c r="F2" s="8"/>
    </row>
    <row r="4" spans="2:7" x14ac:dyDescent="0.3">
      <c r="B4" s="27" t="s">
        <v>46</v>
      </c>
      <c r="C4" s="27" t="s">
        <v>31</v>
      </c>
      <c r="D4" s="27" t="s">
        <v>47</v>
      </c>
      <c r="E4" s="27" t="s">
        <v>48</v>
      </c>
      <c r="F4" s="27" t="s">
        <v>49</v>
      </c>
      <c r="G4" s="27" t="s">
        <v>50</v>
      </c>
    </row>
    <row r="5" spans="2:7" x14ac:dyDescent="0.3">
      <c r="B5" s="11">
        <v>46198</v>
      </c>
      <c r="C5" s="24" t="s">
        <v>39</v>
      </c>
      <c r="D5" s="28">
        <v>240</v>
      </c>
      <c r="E5" s="28">
        <v>500</v>
      </c>
      <c r="F5" s="29">
        <f t="shared" ref="F5:F68" si="0">IF(OR(D5="",E5=""),"",D5*E5)</f>
        <v>120000</v>
      </c>
      <c r="G5" s="30"/>
    </row>
    <row r="6" spans="2:7" x14ac:dyDescent="0.3">
      <c r="B6" s="11">
        <v>46198</v>
      </c>
      <c r="C6" s="24" t="s">
        <v>37</v>
      </c>
      <c r="D6" s="28">
        <v>400</v>
      </c>
      <c r="E6" s="28">
        <v>320</v>
      </c>
      <c r="F6" s="31">
        <f t="shared" si="0"/>
        <v>128000</v>
      </c>
      <c r="G6" s="30"/>
    </row>
    <row r="7" spans="2:7" x14ac:dyDescent="0.3">
      <c r="B7" s="11">
        <v>46198</v>
      </c>
      <c r="C7" s="24" t="s">
        <v>38</v>
      </c>
      <c r="D7" s="28">
        <v>320</v>
      </c>
      <c r="E7" s="28">
        <v>500</v>
      </c>
      <c r="F7" s="29">
        <f t="shared" si="0"/>
        <v>160000</v>
      </c>
      <c r="G7" s="30"/>
    </row>
    <row r="8" spans="2:7" x14ac:dyDescent="0.3">
      <c r="B8" s="11">
        <v>46198</v>
      </c>
      <c r="C8" s="24" t="s">
        <v>36</v>
      </c>
      <c r="D8" s="28">
        <v>750</v>
      </c>
      <c r="E8" s="28">
        <v>305</v>
      </c>
      <c r="F8" s="31">
        <f t="shared" si="0"/>
        <v>228750</v>
      </c>
      <c r="G8" s="30"/>
    </row>
    <row r="9" spans="2:7" x14ac:dyDescent="0.3">
      <c r="B9" s="11">
        <v>46198</v>
      </c>
      <c r="C9" s="24" t="s">
        <v>35</v>
      </c>
      <c r="D9" s="28">
        <v>640</v>
      </c>
      <c r="E9" s="28">
        <v>370</v>
      </c>
      <c r="F9" s="29">
        <f t="shared" si="0"/>
        <v>236800</v>
      </c>
      <c r="G9" s="30"/>
    </row>
    <row r="10" spans="2:7" x14ac:dyDescent="0.3">
      <c r="B10" s="11">
        <v>46214</v>
      </c>
      <c r="C10" s="24" t="s">
        <v>40</v>
      </c>
      <c r="D10" s="28">
        <v>160</v>
      </c>
      <c r="E10" s="28">
        <v>490</v>
      </c>
      <c r="F10" s="31">
        <f t="shared" si="0"/>
        <v>78400</v>
      </c>
      <c r="G10" s="30"/>
    </row>
    <row r="11" spans="2:7" x14ac:dyDescent="0.3">
      <c r="B11" s="11">
        <v>46216</v>
      </c>
      <c r="C11" s="24" t="s">
        <v>41</v>
      </c>
      <c r="D11" s="28">
        <v>80</v>
      </c>
      <c r="E11" s="28">
        <v>715</v>
      </c>
      <c r="F11" s="29">
        <f t="shared" si="0"/>
        <v>57200</v>
      </c>
      <c r="G11" s="30"/>
    </row>
    <row r="12" spans="2:7" x14ac:dyDescent="0.3">
      <c r="B12" s="11">
        <v>46216</v>
      </c>
      <c r="C12" s="24" t="s">
        <v>42</v>
      </c>
      <c r="D12" s="28">
        <v>80</v>
      </c>
      <c r="E12" s="28">
        <v>715</v>
      </c>
      <c r="F12" s="31">
        <f t="shared" si="0"/>
        <v>57200</v>
      </c>
      <c r="G12" s="30"/>
    </row>
    <row r="13" spans="2:7" x14ac:dyDescent="0.3">
      <c r="B13" s="11">
        <v>46218</v>
      </c>
      <c r="C13" s="24" t="s">
        <v>40</v>
      </c>
      <c r="D13" s="28">
        <v>160</v>
      </c>
      <c r="E13" s="28">
        <v>485</v>
      </c>
      <c r="F13" s="29">
        <f t="shared" si="0"/>
        <v>77600</v>
      </c>
      <c r="G13" s="30"/>
    </row>
    <row r="14" spans="2:7" x14ac:dyDescent="0.3">
      <c r="B14" s="11">
        <v>46226</v>
      </c>
      <c r="C14" s="24" t="s">
        <v>41</v>
      </c>
      <c r="D14" s="28">
        <v>240</v>
      </c>
      <c r="E14" s="28">
        <v>715</v>
      </c>
      <c r="F14" s="31">
        <f t="shared" si="0"/>
        <v>171600</v>
      </c>
      <c r="G14" s="30"/>
    </row>
    <row r="15" spans="2:7" x14ac:dyDescent="0.3">
      <c r="B15" s="11">
        <v>46226</v>
      </c>
      <c r="C15" s="24" t="s">
        <v>42</v>
      </c>
      <c r="D15" s="28">
        <v>160</v>
      </c>
      <c r="E15" s="28">
        <v>715</v>
      </c>
      <c r="F15" s="29">
        <f t="shared" si="0"/>
        <v>114400</v>
      </c>
      <c r="G15" s="30"/>
    </row>
    <row r="16" spans="2:7" x14ac:dyDescent="0.3">
      <c r="B16" s="11">
        <v>46226</v>
      </c>
      <c r="C16" s="24" t="s">
        <v>40</v>
      </c>
      <c r="D16" s="28">
        <v>240</v>
      </c>
      <c r="E16" s="28">
        <v>485</v>
      </c>
      <c r="F16" s="31">
        <f t="shared" si="0"/>
        <v>116400</v>
      </c>
      <c r="G16" s="30"/>
    </row>
    <row r="17" spans="2:7" x14ac:dyDescent="0.3">
      <c r="B17" s="11">
        <v>46226</v>
      </c>
      <c r="C17" s="24" t="s">
        <v>35</v>
      </c>
      <c r="D17" s="28">
        <v>560</v>
      </c>
      <c r="E17" s="28">
        <v>370</v>
      </c>
      <c r="F17" s="29">
        <f t="shared" si="0"/>
        <v>207200</v>
      </c>
      <c r="G17" s="30"/>
    </row>
    <row r="18" spans="2:7" x14ac:dyDescent="0.3">
      <c r="B18" s="11">
        <v>46226</v>
      </c>
      <c r="C18" s="24" t="s">
        <v>37</v>
      </c>
      <c r="D18" s="28">
        <v>350</v>
      </c>
      <c r="E18" s="28">
        <v>320</v>
      </c>
      <c r="F18" s="31">
        <f t="shared" si="0"/>
        <v>112000</v>
      </c>
      <c r="G18" s="30"/>
    </row>
    <row r="19" spans="2:7" x14ac:dyDescent="0.3">
      <c r="B19" s="11">
        <v>46226</v>
      </c>
      <c r="C19" s="24" t="s">
        <v>36</v>
      </c>
      <c r="D19" s="28">
        <v>188</v>
      </c>
      <c r="E19" s="28">
        <v>305</v>
      </c>
      <c r="F19" s="29">
        <f t="shared" si="0"/>
        <v>57340</v>
      </c>
      <c r="G19" s="30"/>
    </row>
    <row r="20" spans="2:7" x14ac:dyDescent="0.3">
      <c r="B20" s="11">
        <v>46226</v>
      </c>
      <c r="C20" s="24" t="s">
        <v>39</v>
      </c>
      <c r="D20" s="28">
        <v>80</v>
      </c>
      <c r="E20" s="28">
        <v>500</v>
      </c>
      <c r="F20" s="31">
        <f t="shared" si="0"/>
        <v>40000</v>
      </c>
      <c r="G20" s="30"/>
    </row>
    <row r="21" spans="2:7" x14ac:dyDescent="0.3">
      <c r="B21" s="11">
        <v>46226</v>
      </c>
      <c r="C21" s="24" t="s">
        <v>40</v>
      </c>
      <c r="D21" s="28">
        <v>240</v>
      </c>
      <c r="E21" s="28">
        <v>480</v>
      </c>
      <c r="F21" s="29">
        <f t="shared" si="0"/>
        <v>115200</v>
      </c>
      <c r="G21" s="30"/>
    </row>
    <row r="22" spans="2:7" x14ac:dyDescent="0.3">
      <c r="B22" s="11">
        <v>46228</v>
      </c>
      <c r="C22" s="24" t="s">
        <v>42</v>
      </c>
      <c r="D22" s="28">
        <v>80</v>
      </c>
      <c r="E22" s="28">
        <v>715</v>
      </c>
      <c r="F22" s="31">
        <f t="shared" si="0"/>
        <v>57200</v>
      </c>
      <c r="G22" s="30"/>
    </row>
    <row r="23" spans="2:7" x14ac:dyDescent="0.3">
      <c r="B23" s="11">
        <v>46234</v>
      </c>
      <c r="C23" s="24" t="s">
        <v>40</v>
      </c>
      <c r="D23" s="28">
        <v>240</v>
      </c>
      <c r="E23" s="28">
        <v>480</v>
      </c>
      <c r="F23" s="29">
        <f t="shared" si="0"/>
        <v>115200</v>
      </c>
      <c r="G23" s="30"/>
    </row>
    <row r="24" spans="2:7" x14ac:dyDescent="0.3">
      <c r="B24" s="11">
        <v>46236</v>
      </c>
      <c r="C24" s="24" t="s">
        <v>40</v>
      </c>
      <c r="D24" s="28">
        <v>240</v>
      </c>
      <c r="E24" s="28">
        <v>480</v>
      </c>
      <c r="F24" s="31">
        <f t="shared" si="0"/>
        <v>115200</v>
      </c>
      <c r="G24" s="30"/>
    </row>
    <row r="25" spans="2:7" x14ac:dyDescent="0.3">
      <c r="B25" s="11">
        <v>46236</v>
      </c>
      <c r="C25" s="24" t="s">
        <v>41</v>
      </c>
      <c r="D25" s="28">
        <v>240</v>
      </c>
      <c r="E25" s="28">
        <v>715</v>
      </c>
      <c r="F25" s="29">
        <f t="shared" si="0"/>
        <v>171600</v>
      </c>
      <c r="G25" s="30"/>
    </row>
    <row r="26" spans="2:7" x14ac:dyDescent="0.3">
      <c r="B26" s="11">
        <v>46236</v>
      </c>
      <c r="C26" s="24" t="s">
        <v>42</v>
      </c>
      <c r="D26" s="28">
        <v>240</v>
      </c>
      <c r="E26" s="28">
        <v>715</v>
      </c>
      <c r="F26" s="31">
        <f t="shared" si="0"/>
        <v>171600</v>
      </c>
      <c r="G26" s="30"/>
    </row>
    <row r="27" spans="2:7" ht="22.8" x14ac:dyDescent="0.3">
      <c r="B27" s="11">
        <v>46234</v>
      </c>
      <c r="C27" s="24" t="s">
        <v>43</v>
      </c>
      <c r="D27" s="28">
        <v>35</v>
      </c>
      <c r="E27" s="28">
        <v>220</v>
      </c>
      <c r="F27" s="29">
        <f t="shared" si="0"/>
        <v>7700</v>
      </c>
      <c r="G27" s="32" t="s">
        <v>51</v>
      </c>
    </row>
    <row r="28" spans="2:7" x14ac:dyDescent="0.3">
      <c r="B28" s="11">
        <v>46235</v>
      </c>
      <c r="C28" s="24" t="s">
        <v>39</v>
      </c>
      <c r="D28" s="34">
        <v>80</v>
      </c>
      <c r="E28" s="34">
        <v>500</v>
      </c>
      <c r="F28" s="31">
        <f t="shared" si="0"/>
        <v>40000</v>
      </c>
      <c r="G28" s="30"/>
    </row>
    <row r="29" spans="2:7" x14ac:dyDescent="0.3">
      <c r="B29" s="11">
        <v>46235</v>
      </c>
      <c r="C29" s="24" t="s">
        <v>37</v>
      </c>
      <c r="D29" s="34">
        <v>600</v>
      </c>
      <c r="E29" s="34">
        <v>320</v>
      </c>
      <c r="F29" s="29">
        <f t="shared" si="0"/>
        <v>192000</v>
      </c>
      <c r="G29" s="30"/>
    </row>
    <row r="30" spans="2:7" x14ac:dyDescent="0.3">
      <c r="B30" s="11">
        <v>46235</v>
      </c>
      <c r="C30" s="24" t="s">
        <v>35</v>
      </c>
      <c r="D30" s="34">
        <v>640</v>
      </c>
      <c r="E30" s="34">
        <v>370</v>
      </c>
      <c r="F30" s="31">
        <f t="shared" si="0"/>
        <v>236800</v>
      </c>
      <c r="G30" s="30"/>
    </row>
    <row r="31" spans="2:7" x14ac:dyDescent="0.3">
      <c r="B31" s="33"/>
      <c r="C31" s="24"/>
      <c r="D31" s="34"/>
      <c r="E31" s="34"/>
      <c r="F31" s="29" t="str">
        <f t="shared" si="0"/>
        <v/>
      </c>
      <c r="G31" s="30"/>
    </row>
    <row r="32" spans="2:7" x14ac:dyDescent="0.3">
      <c r="B32" s="33"/>
      <c r="C32" s="24"/>
      <c r="D32" s="34"/>
      <c r="E32" s="34"/>
      <c r="F32" s="31" t="str">
        <f t="shared" si="0"/>
        <v/>
      </c>
      <c r="G32" s="30"/>
    </row>
    <row r="33" spans="2:7" x14ac:dyDescent="0.3">
      <c r="B33" s="33"/>
      <c r="C33" s="24"/>
      <c r="D33" s="34"/>
      <c r="E33" s="34"/>
      <c r="F33" s="29" t="str">
        <f t="shared" si="0"/>
        <v/>
      </c>
      <c r="G33" s="30"/>
    </row>
    <row r="34" spans="2:7" x14ac:dyDescent="0.3">
      <c r="B34" s="33"/>
      <c r="C34" s="24"/>
      <c r="D34" s="34"/>
      <c r="E34" s="34"/>
      <c r="F34" s="31" t="str">
        <f t="shared" si="0"/>
        <v/>
      </c>
      <c r="G34" s="30"/>
    </row>
    <row r="35" spans="2:7" x14ac:dyDescent="0.3">
      <c r="B35" s="33"/>
      <c r="C35" s="24"/>
      <c r="D35" s="34"/>
      <c r="E35" s="34"/>
      <c r="F35" s="29" t="str">
        <f t="shared" si="0"/>
        <v/>
      </c>
      <c r="G35" s="30"/>
    </row>
    <row r="36" spans="2:7" x14ac:dyDescent="0.3">
      <c r="B36" s="33"/>
      <c r="C36" s="24"/>
      <c r="D36" s="34"/>
      <c r="E36" s="34"/>
      <c r="F36" s="31" t="str">
        <f t="shared" si="0"/>
        <v/>
      </c>
      <c r="G36" s="30"/>
    </row>
    <row r="37" spans="2:7" x14ac:dyDescent="0.3">
      <c r="B37" s="33"/>
      <c r="C37" s="24"/>
      <c r="D37" s="34"/>
      <c r="E37" s="34"/>
      <c r="F37" s="29" t="str">
        <f t="shared" si="0"/>
        <v/>
      </c>
      <c r="G37" s="30"/>
    </row>
    <row r="38" spans="2:7" x14ac:dyDescent="0.3">
      <c r="B38" s="33"/>
      <c r="C38" s="24"/>
      <c r="D38" s="34"/>
      <c r="E38" s="34"/>
      <c r="F38" s="31" t="str">
        <f t="shared" si="0"/>
        <v/>
      </c>
      <c r="G38" s="30"/>
    </row>
    <row r="39" spans="2:7" x14ac:dyDescent="0.3">
      <c r="B39" s="33"/>
      <c r="C39" s="24"/>
      <c r="D39" s="34"/>
      <c r="E39" s="34"/>
      <c r="F39" s="29" t="str">
        <f t="shared" si="0"/>
        <v/>
      </c>
      <c r="G39" s="30"/>
    </row>
    <row r="40" spans="2:7" x14ac:dyDescent="0.3">
      <c r="B40" s="33"/>
      <c r="C40" s="24"/>
      <c r="D40" s="34"/>
      <c r="E40" s="34"/>
      <c r="F40" s="31" t="str">
        <f t="shared" si="0"/>
        <v/>
      </c>
      <c r="G40" s="30"/>
    </row>
    <row r="41" spans="2:7" x14ac:dyDescent="0.3">
      <c r="B41" s="33"/>
      <c r="C41" s="24"/>
      <c r="D41" s="34"/>
      <c r="E41" s="34"/>
      <c r="F41" s="29" t="str">
        <f t="shared" si="0"/>
        <v/>
      </c>
      <c r="G41" s="30"/>
    </row>
    <row r="42" spans="2:7" x14ac:dyDescent="0.3">
      <c r="B42" s="33"/>
      <c r="C42" s="24"/>
      <c r="D42" s="34"/>
      <c r="E42" s="34"/>
      <c r="F42" s="31" t="str">
        <f t="shared" si="0"/>
        <v/>
      </c>
      <c r="G42" s="30"/>
    </row>
    <row r="43" spans="2:7" x14ac:dyDescent="0.3">
      <c r="B43" s="33"/>
      <c r="C43" s="24"/>
      <c r="D43" s="34"/>
      <c r="E43" s="34"/>
      <c r="F43" s="29" t="str">
        <f t="shared" si="0"/>
        <v/>
      </c>
      <c r="G43" s="30"/>
    </row>
    <row r="44" spans="2:7" x14ac:dyDescent="0.3">
      <c r="B44" s="33"/>
      <c r="C44" s="24"/>
      <c r="D44" s="34"/>
      <c r="E44" s="34"/>
      <c r="F44" s="31" t="str">
        <f t="shared" si="0"/>
        <v/>
      </c>
      <c r="G44" s="30"/>
    </row>
    <row r="45" spans="2:7" x14ac:dyDescent="0.3">
      <c r="B45" s="33"/>
      <c r="C45" s="24"/>
      <c r="D45" s="34"/>
      <c r="E45" s="34"/>
      <c r="F45" s="29" t="str">
        <f t="shared" si="0"/>
        <v/>
      </c>
      <c r="G45" s="30"/>
    </row>
    <row r="46" spans="2:7" x14ac:dyDescent="0.3">
      <c r="B46" s="33"/>
      <c r="C46" s="24"/>
      <c r="D46" s="34"/>
      <c r="E46" s="34"/>
      <c r="F46" s="31" t="str">
        <f t="shared" si="0"/>
        <v/>
      </c>
      <c r="G46" s="30"/>
    </row>
    <row r="47" spans="2:7" x14ac:dyDescent="0.3">
      <c r="B47" s="33"/>
      <c r="C47" s="24"/>
      <c r="D47" s="34"/>
      <c r="E47" s="34"/>
      <c r="F47" s="29" t="str">
        <f t="shared" si="0"/>
        <v/>
      </c>
      <c r="G47" s="30"/>
    </row>
    <row r="48" spans="2:7" x14ac:dyDescent="0.3">
      <c r="B48" s="33"/>
      <c r="C48" s="24"/>
      <c r="D48" s="34"/>
      <c r="E48" s="34"/>
      <c r="F48" s="31" t="str">
        <f t="shared" si="0"/>
        <v/>
      </c>
      <c r="G48" s="30"/>
    </row>
    <row r="49" spans="2:7" x14ac:dyDescent="0.3">
      <c r="B49" s="33"/>
      <c r="C49" s="24"/>
      <c r="D49" s="34"/>
      <c r="E49" s="34"/>
      <c r="F49" s="29" t="str">
        <f t="shared" si="0"/>
        <v/>
      </c>
      <c r="G49" s="30"/>
    </row>
    <row r="50" spans="2:7" x14ac:dyDescent="0.3">
      <c r="B50" s="33"/>
      <c r="C50" s="24"/>
      <c r="D50" s="34"/>
      <c r="E50" s="34"/>
      <c r="F50" s="31" t="str">
        <f t="shared" si="0"/>
        <v/>
      </c>
      <c r="G50" s="30"/>
    </row>
    <row r="51" spans="2:7" x14ac:dyDescent="0.3">
      <c r="B51" s="33"/>
      <c r="C51" s="24"/>
      <c r="D51" s="34"/>
      <c r="E51" s="34"/>
      <c r="F51" s="29" t="str">
        <f t="shared" si="0"/>
        <v/>
      </c>
      <c r="G51" s="30"/>
    </row>
    <row r="52" spans="2:7" x14ac:dyDescent="0.3">
      <c r="B52" s="33"/>
      <c r="C52" s="24"/>
      <c r="D52" s="34"/>
      <c r="E52" s="34"/>
      <c r="F52" s="31" t="str">
        <f t="shared" si="0"/>
        <v/>
      </c>
      <c r="G52" s="30"/>
    </row>
    <row r="53" spans="2:7" x14ac:dyDescent="0.3">
      <c r="B53" s="33"/>
      <c r="C53" s="24"/>
      <c r="D53" s="34"/>
      <c r="E53" s="34"/>
      <c r="F53" s="29" t="str">
        <f t="shared" si="0"/>
        <v/>
      </c>
      <c r="G53" s="30"/>
    </row>
    <row r="54" spans="2:7" x14ac:dyDescent="0.3">
      <c r="B54" s="33"/>
      <c r="C54" s="24"/>
      <c r="D54" s="34"/>
      <c r="E54" s="34"/>
      <c r="F54" s="31" t="str">
        <f t="shared" si="0"/>
        <v/>
      </c>
      <c r="G54" s="30"/>
    </row>
    <row r="55" spans="2:7" x14ac:dyDescent="0.3">
      <c r="B55" s="33"/>
      <c r="C55" s="24"/>
      <c r="D55" s="34"/>
      <c r="E55" s="34"/>
      <c r="F55" s="29" t="str">
        <f t="shared" si="0"/>
        <v/>
      </c>
      <c r="G55" s="30"/>
    </row>
    <row r="56" spans="2:7" x14ac:dyDescent="0.3">
      <c r="B56" s="33"/>
      <c r="C56" s="24"/>
      <c r="D56" s="34"/>
      <c r="E56" s="34"/>
      <c r="F56" s="31" t="str">
        <f t="shared" si="0"/>
        <v/>
      </c>
      <c r="G56" s="30"/>
    </row>
    <row r="57" spans="2:7" x14ac:dyDescent="0.3">
      <c r="B57" s="33"/>
      <c r="C57" s="24"/>
      <c r="D57" s="34"/>
      <c r="E57" s="34"/>
      <c r="F57" s="29" t="str">
        <f t="shared" si="0"/>
        <v/>
      </c>
      <c r="G57" s="30"/>
    </row>
    <row r="58" spans="2:7" x14ac:dyDescent="0.3">
      <c r="B58" s="33"/>
      <c r="C58" s="24"/>
      <c r="D58" s="34"/>
      <c r="E58" s="34"/>
      <c r="F58" s="31" t="str">
        <f t="shared" si="0"/>
        <v/>
      </c>
      <c r="G58" s="30"/>
    </row>
    <row r="59" spans="2:7" x14ac:dyDescent="0.3">
      <c r="B59" s="33"/>
      <c r="C59" s="24"/>
      <c r="D59" s="34"/>
      <c r="E59" s="34"/>
      <c r="F59" s="29" t="str">
        <f t="shared" si="0"/>
        <v/>
      </c>
      <c r="G59" s="30"/>
    </row>
    <row r="60" spans="2:7" x14ac:dyDescent="0.3">
      <c r="B60" s="33"/>
      <c r="C60" s="24"/>
      <c r="D60" s="34"/>
      <c r="E60" s="34"/>
      <c r="F60" s="31" t="str">
        <f t="shared" si="0"/>
        <v/>
      </c>
      <c r="G60" s="30"/>
    </row>
    <row r="61" spans="2:7" x14ac:dyDescent="0.3">
      <c r="B61" s="33"/>
      <c r="C61" s="24"/>
      <c r="D61" s="34"/>
      <c r="E61" s="34"/>
      <c r="F61" s="29" t="str">
        <f t="shared" si="0"/>
        <v/>
      </c>
      <c r="G61" s="30"/>
    </row>
    <row r="62" spans="2:7" x14ac:dyDescent="0.3">
      <c r="B62" s="33"/>
      <c r="C62" s="24"/>
      <c r="D62" s="34"/>
      <c r="E62" s="34"/>
      <c r="F62" s="31" t="str">
        <f t="shared" si="0"/>
        <v/>
      </c>
      <c r="G62" s="30"/>
    </row>
    <row r="63" spans="2:7" x14ac:dyDescent="0.3">
      <c r="B63" s="33"/>
      <c r="C63" s="24"/>
      <c r="D63" s="34"/>
      <c r="E63" s="34"/>
      <c r="F63" s="29" t="str">
        <f t="shared" si="0"/>
        <v/>
      </c>
      <c r="G63" s="30"/>
    </row>
    <row r="64" spans="2:7" x14ac:dyDescent="0.3">
      <c r="B64" s="33"/>
      <c r="C64" s="24"/>
      <c r="D64" s="34"/>
      <c r="E64" s="34"/>
      <c r="F64" s="31" t="str">
        <f t="shared" si="0"/>
        <v/>
      </c>
      <c r="G64" s="30"/>
    </row>
    <row r="65" spans="2:7" x14ac:dyDescent="0.3">
      <c r="B65" s="33"/>
      <c r="C65" s="24"/>
      <c r="D65" s="34"/>
      <c r="E65" s="34"/>
      <c r="F65" s="29" t="str">
        <f t="shared" si="0"/>
        <v/>
      </c>
      <c r="G65" s="30"/>
    </row>
    <row r="66" spans="2:7" x14ac:dyDescent="0.3">
      <c r="B66" s="33"/>
      <c r="C66" s="24"/>
      <c r="D66" s="34"/>
      <c r="E66" s="34"/>
      <c r="F66" s="31" t="str">
        <f t="shared" si="0"/>
        <v/>
      </c>
      <c r="G66" s="30"/>
    </row>
    <row r="67" spans="2:7" x14ac:dyDescent="0.3">
      <c r="B67" s="33"/>
      <c r="C67" s="24"/>
      <c r="D67" s="34"/>
      <c r="E67" s="34"/>
      <c r="F67" s="29" t="str">
        <f t="shared" si="0"/>
        <v/>
      </c>
      <c r="G67" s="30"/>
    </row>
    <row r="68" spans="2:7" x14ac:dyDescent="0.3">
      <c r="B68" s="33"/>
      <c r="C68" s="24"/>
      <c r="D68" s="34"/>
      <c r="E68" s="34"/>
      <c r="F68" s="31" t="str">
        <f t="shared" si="0"/>
        <v/>
      </c>
      <c r="G68" s="30"/>
    </row>
    <row r="69" spans="2:7" x14ac:dyDescent="0.3">
      <c r="B69" s="33"/>
      <c r="C69" s="24"/>
      <c r="D69" s="34"/>
      <c r="E69" s="34"/>
      <c r="F69" s="29" t="str">
        <f t="shared" ref="F69:F132" si="1">IF(OR(D69="",E69=""),"",D69*E69)</f>
        <v/>
      </c>
      <c r="G69" s="30"/>
    </row>
    <row r="70" spans="2:7" x14ac:dyDescent="0.3">
      <c r="B70" s="33"/>
      <c r="C70" s="24"/>
      <c r="D70" s="34"/>
      <c r="E70" s="34"/>
      <c r="F70" s="31" t="str">
        <f t="shared" si="1"/>
        <v/>
      </c>
      <c r="G70" s="30"/>
    </row>
    <row r="71" spans="2:7" x14ac:dyDescent="0.3">
      <c r="B71" s="33"/>
      <c r="C71" s="24"/>
      <c r="D71" s="34"/>
      <c r="E71" s="34"/>
      <c r="F71" s="29" t="str">
        <f t="shared" si="1"/>
        <v/>
      </c>
      <c r="G71" s="30"/>
    </row>
    <row r="72" spans="2:7" x14ac:dyDescent="0.3">
      <c r="B72" s="33"/>
      <c r="C72" s="24"/>
      <c r="D72" s="34"/>
      <c r="E72" s="34"/>
      <c r="F72" s="31" t="str">
        <f t="shared" si="1"/>
        <v/>
      </c>
      <c r="G72" s="30"/>
    </row>
    <row r="73" spans="2:7" x14ac:dyDescent="0.3">
      <c r="B73" s="33"/>
      <c r="C73" s="24"/>
      <c r="D73" s="34"/>
      <c r="E73" s="34"/>
      <c r="F73" s="29" t="str">
        <f t="shared" si="1"/>
        <v/>
      </c>
      <c r="G73" s="30"/>
    </row>
    <row r="74" spans="2:7" x14ac:dyDescent="0.3">
      <c r="B74" s="33"/>
      <c r="C74" s="24"/>
      <c r="D74" s="34"/>
      <c r="E74" s="34"/>
      <c r="F74" s="31" t="str">
        <f t="shared" si="1"/>
        <v/>
      </c>
      <c r="G74" s="30"/>
    </row>
    <row r="75" spans="2:7" x14ac:dyDescent="0.3">
      <c r="B75" s="33"/>
      <c r="C75" s="24"/>
      <c r="D75" s="34"/>
      <c r="E75" s="34"/>
      <c r="F75" s="29" t="str">
        <f t="shared" si="1"/>
        <v/>
      </c>
      <c r="G75" s="30"/>
    </row>
    <row r="76" spans="2:7" x14ac:dyDescent="0.3">
      <c r="B76" s="33"/>
      <c r="C76" s="24"/>
      <c r="D76" s="34"/>
      <c r="E76" s="34"/>
      <c r="F76" s="31" t="str">
        <f t="shared" si="1"/>
        <v/>
      </c>
      <c r="G76" s="30"/>
    </row>
    <row r="77" spans="2:7" x14ac:dyDescent="0.3">
      <c r="B77" s="33"/>
      <c r="C77" s="24"/>
      <c r="D77" s="34"/>
      <c r="E77" s="34"/>
      <c r="F77" s="29" t="str">
        <f t="shared" si="1"/>
        <v/>
      </c>
      <c r="G77" s="30"/>
    </row>
    <row r="78" spans="2:7" x14ac:dyDescent="0.3">
      <c r="B78" s="33"/>
      <c r="C78" s="24"/>
      <c r="D78" s="34"/>
      <c r="E78" s="34"/>
      <c r="F78" s="31" t="str">
        <f t="shared" si="1"/>
        <v/>
      </c>
      <c r="G78" s="30"/>
    </row>
    <row r="79" spans="2:7" x14ac:dyDescent="0.3">
      <c r="B79" s="33"/>
      <c r="C79" s="24"/>
      <c r="D79" s="34"/>
      <c r="E79" s="34"/>
      <c r="F79" s="29" t="str">
        <f t="shared" si="1"/>
        <v/>
      </c>
      <c r="G79" s="30"/>
    </row>
    <row r="80" spans="2:7" x14ac:dyDescent="0.3">
      <c r="B80" s="33"/>
      <c r="C80" s="24"/>
      <c r="D80" s="34"/>
      <c r="E80" s="34"/>
      <c r="F80" s="31" t="str">
        <f t="shared" si="1"/>
        <v/>
      </c>
      <c r="G80" s="30"/>
    </row>
    <row r="81" spans="2:7" x14ac:dyDescent="0.3">
      <c r="B81" s="33"/>
      <c r="C81" s="24"/>
      <c r="D81" s="34"/>
      <c r="E81" s="34"/>
      <c r="F81" s="29" t="str">
        <f t="shared" si="1"/>
        <v/>
      </c>
      <c r="G81" s="30"/>
    </row>
    <row r="82" spans="2:7" x14ac:dyDescent="0.3">
      <c r="B82" s="33"/>
      <c r="C82" s="24"/>
      <c r="D82" s="34"/>
      <c r="E82" s="34"/>
      <c r="F82" s="31" t="str">
        <f t="shared" si="1"/>
        <v/>
      </c>
      <c r="G82" s="30"/>
    </row>
    <row r="83" spans="2:7" x14ac:dyDescent="0.3">
      <c r="B83" s="33"/>
      <c r="C83" s="24"/>
      <c r="D83" s="34"/>
      <c r="E83" s="34"/>
      <c r="F83" s="29" t="str">
        <f t="shared" si="1"/>
        <v/>
      </c>
      <c r="G83" s="30"/>
    </row>
    <row r="84" spans="2:7" x14ac:dyDescent="0.3">
      <c r="B84" s="33"/>
      <c r="C84" s="24"/>
      <c r="D84" s="34"/>
      <c r="E84" s="34"/>
      <c r="F84" s="31" t="str">
        <f t="shared" si="1"/>
        <v/>
      </c>
      <c r="G84" s="30"/>
    </row>
    <row r="85" spans="2:7" x14ac:dyDescent="0.3">
      <c r="B85" s="33"/>
      <c r="C85" s="24"/>
      <c r="D85" s="34"/>
      <c r="E85" s="34"/>
      <c r="F85" s="29" t="str">
        <f t="shared" si="1"/>
        <v/>
      </c>
      <c r="G85" s="30"/>
    </row>
    <row r="86" spans="2:7" x14ac:dyDescent="0.3">
      <c r="B86" s="33"/>
      <c r="C86" s="24"/>
      <c r="D86" s="34"/>
      <c r="E86" s="34"/>
      <c r="F86" s="31" t="str">
        <f t="shared" si="1"/>
        <v/>
      </c>
      <c r="G86" s="30"/>
    </row>
    <row r="87" spans="2:7" x14ac:dyDescent="0.3">
      <c r="B87" s="33"/>
      <c r="C87" s="24"/>
      <c r="D87" s="34"/>
      <c r="E87" s="34"/>
      <c r="F87" s="29" t="str">
        <f t="shared" si="1"/>
        <v/>
      </c>
      <c r="G87" s="30"/>
    </row>
    <row r="88" spans="2:7" x14ac:dyDescent="0.3">
      <c r="B88" s="33"/>
      <c r="C88" s="24"/>
      <c r="D88" s="34"/>
      <c r="E88" s="34"/>
      <c r="F88" s="31" t="str">
        <f t="shared" si="1"/>
        <v/>
      </c>
      <c r="G88" s="30"/>
    </row>
    <row r="89" spans="2:7" x14ac:dyDescent="0.3">
      <c r="B89" s="33"/>
      <c r="C89" s="24"/>
      <c r="D89" s="34"/>
      <c r="E89" s="34"/>
      <c r="F89" s="29" t="str">
        <f t="shared" si="1"/>
        <v/>
      </c>
      <c r="G89" s="30"/>
    </row>
    <row r="90" spans="2:7" x14ac:dyDescent="0.3">
      <c r="B90" s="33"/>
      <c r="C90" s="24"/>
      <c r="D90" s="34"/>
      <c r="E90" s="34"/>
      <c r="F90" s="31" t="str">
        <f t="shared" si="1"/>
        <v/>
      </c>
      <c r="G90" s="30"/>
    </row>
    <row r="91" spans="2:7" x14ac:dyDescent="0.3">
      <c r="B91" s="33"/>
      <c r="C91" s="24"/>
      <c r="D91" s="34"/>
      <c r="E91" s="34"/>
      <c r="F91" s="29" t="str">
        <f t="shared" si="1"/>
        <v/>
      </c>
      <c r="G91" s="30"/>
    </row>
    <row r="92" spans="2:7" x14ac:dyDescent="0.3">
      <c r="B92" s="33"/>
      <c r="C92" s="24"/>
      <c r="D92" s="34"/>
      <c r="E92" s="34"/>
      <c r="F92" s="31" t="str">
        <f t="shared" si="1"/>
        <v/>
      </c>
      <c r="G92" s="30"/>
    </row>
    <row r="93" spans="2:7" x14ac:dyDescent="0.3">
      <c r="B93" s="33"/>
      <c r="C93" s="24"/>
      <c r="D93" s="34"/>
      <c r="E93" s="34"/>
      <c r="F93" s="29" t="str">
        <f t="shared" si="1"/>
        <v/>
      </c>
      <c r="G93" s="30"/>
    </row>
    <row r="94" spans="2:7" x14ac:dyDescent="0.3">
      <c r="B94" s="33"/>
      <c r="C94" s="24"/>
      <c r="D94" s="34"/>
      <c r="E94" s="34"/>
      <c r="F94" s="31" t="str">
        <f t="shared" si="1"/>
        <v/>
      </c>
      <c r="G94" s="30"/>
    </row>
    <row r="95" spans="2:7" x14ac:dyDescent="0.3">
      <c r="B95" s="33"/>
      <c r="C95" s="24"/>
      <c r="D95" s="34"/>
      <c r="E95" s="34"/>
      <c r="F95" s="29" t="str">
        <f t="shared" si="1"/>
        <v/>
      </c>
      <c r="G95" s="30"/>
    </row>
    <row r="96" spans="2:7" x14ac:dyDescent="0.3">
      <c r="B96" s="33"/>
      <c r="C96" s="24"/>
      <c r="D96" s="34"/>
      <c r="E96" s="34"/>
      <c r="F96" s="31" t="str">
        <f t="shared" si="1"/>
        <v/>
      </c>
      <c r="G96" s="30"/>
    </row>
    <row r="97" spans="2:7" x14ac:dyDescent="0.3">
      <c r="B97" s="33"/>
      <c r="C97" s="24"/>
      <c r="D97" s="34"/>
      <c r="E97" s="34"/>
      <c r="F97" s="29" t="str">
        <f t="shared" si="1"/>
        <v/>
      </c>
      <c r="G97" s="30"/>
    </row>
    <row r="98" spans="2:7" x14ac:dyDescent="0.3">
      <c r="B98" s="33"/>
      <c r="C98" s="24"/>
      <c r="D98" s="34"/>
      <c r="E98" s="34"/>
      <c r="F98" s="31" t="str">
        <f t="shared" si="1"/>
        <v/>
      </c>
      <c r="G98" s="30"/>
    </row>
    <row r="99" spans="2:7" x14ac:dyDescent="0.3">
      <c r="B99" s="33"/>
      <c r="C99" s="24"/>
      <c r="D99" s="34"/>
      <c r="E99" s="34"/>
      <c r="F99" s="29" t="str">
        <f t="shared" si="1"/>
        <v/>
      </c>
      <c r="G99" s="30"/>
    </row>
    <row r="100" spans="2:7" x14ac:dyDescent="0.3">
      <c r="B100" s="33"/>
      <c r="C100" s="24"/>
      <c r="D100" s="34"/>
      <c r="E100" s="34"/>
      <c r="F100" s="31" t="str">
        <f t="shared" si="1"/>
        <v/>
      </c>
      <c r="G100" s="30"/>
    </row>
    <row r="101" spans="2:7" x14ac:dyDescent="0.3">
      <c r="B101" s="33"/>
      <c r="C101" s="24"/>
      <c r="D101" s="34"/>
      <c r="E101" s="34"/>
      <c r="F101" s="29" t="str">
        <f t="shared" si="1"/>
        <v/>
      </c>
      <c r="G101" s="30"/>
    </row>
    <row r="102" spans="2:7" x14ac:dyDescent="0.3">
      <c r="B102" s="33"/>
      <c r="C102" s="24"/>
      <c r="D102" s="34"/>
      <c r="E102" s="34"/>
      <c r="F102" s="31" t="str">
        <f t="shared" si="1"/>
        <v/>
      </c>
      <c r="G102" s="30"/>
    </row>
    <row r="103" spans="2:7" x14ac:dyDescent="0.3">
      <c r="B103" s="33"/>
      <c r="C103" s="24"/>
      <c r="D103" s="34"/>
      <c r="E103" s="34"/>
      <c r="F103" s="29" t="str">
        <f t="shared" si="1"/>
        <v/>
      </c>
      <c r="G103" s="30"/>
    </row>
    <row r="104" spans="2:7" x14ac:dyDescent="0.3">
      <c r="B104" s="33"/>
      <c r="C104" s="24"/>
      <c r="D104" s="34"/>
      <c r="E104" s="34"/>
      <c r="F104" s="31" t="str">
        <f t="shared" si="1"/>
        <v/>
      </c>
      <c r="G104" s="30"/>
    </row>
    <row r="105" spans="2:7" x14ac:dyDescent="0.3">
      <c r="B105" s="33"/>
      <c r="C105" s="24"/>
      <c r="D105" s="34"/>
      <c r="E105" s="34"/>
      <c r="F105" s="29" t="str">
        <f t="shared" si="1"/>
        <v/>
      </c>
      <c r="G105" s="30"/>
    </row>
    <row r="106" spans="2:7" x14ac:dyDescent="0.3">
      <c r="B106" s="33"/>
      <c r="C106" s="24"/>
      <c r="D106" s="34"/>
      <c r="E106" s="34"/>
      <c r="F106" s="31" t="str">
        <f t="shared" si="1"/>
        <v/>
      </c>
      <c r="G106" s="30"/>
    </row>
    <row r="107" spans="2:7" x14ac:dyDescent="0.3">
      <c r="B107" s="33"/>
      <c r="C107" s="24"/>
      <c r="D107" s="34"/>
      <c r="E107" s="34"/>
      <c r="F107" s="29" t="str">
        <f t="shared" si="1"/>
        <v/>
      </c>
      <c r="G107" s="30"/>
    </row>
    <row r="108" spans="2:7" x14ac:dyDescent="0.3">
      <c r="B108" s="33"/>
      <c r="C108" s="24"/>
      <c r="D108" s="34"/>
      <c r="E108" s="34"/>
      <c r="F108" s="31" t="str">
        <f t="shared" si="1"/>
        <v/>
      </c>
      <c r="G108" s="30"/>
    </row>
    <row r="109" spans="2:7" x14ac:dyDescent="0.3">
      <c r="B109" s="33"/>
      <c r="C109" s="24"/>
      <c r="D109" s="34"/>
      <c r="E109" s="34"/>
      <c r="F109" s="29" t="str">
        <f t="shared" si="1"/>
        <v/>
      </c>
      <c r="G109" s="30"/>
    </row>
    <row r="110" spans="2:7" x14ac:dyDescent="0.3">
      <c r="B110" s="33"/>
      <c r="C110" s="24"/>
      <c r="D110" s="34"/>
      <c r="E110" s="34"/>
      <c r="F110" s="31" t="str">
        <f t="shared" si="1"/>
        <v/>
      </c>
      <c r="G110" s="30"/>
    </row>
    <row r="111" spans="2:7" x14ac:dyDescent="0.3">
      <c r="B111" s="33"/>
      <c r="C111" s="24"/>
      <c r="D111" s="34"/>
      <c r="E111" s="34"/>
      <c r="F111" s="29" t="str">
        <f t="shared" si="1"/>
        <v/>
      </c>
      <c r="G111" s="30"/>
    </row>
    <row r="112" spans="2:7" x14ac:dyDescent="0.3">
      <c r="B112" s="33"/>
      <c r="C112" s="24"/>
      <c r="D112" s="34"/>
      <c r="E112" s="34"/>
      <c r="F112" s="31" t="str">
        <f t="shared" si="1"/>
        <v/>
      </c>
      <c r="G112" s="30"/>
    </row>
    <row r="113" spans="2:7" x14ac:dyDescent="0.3">
      <c r="B113" s="33"/>
      <c r="C113" s="24"/>
      <c r="D113" s="34"/>
      <c r="E113" s="34"/>
      <c r="F113" s="29" t="str">
        <f t="shared" si="1"/>
        <v/>
      </c>
      <c r="G113" s="30"/>
    </row>
    <row r="114" spans="2:7" x14ac:dyDescent="0.3">
      <c r="B114" s="33"/>
      <c r="C114" s="24"/>
      <c r="D114" s="34"/>
      <c r="E114" s="34"/>
      <c r="F114" s="31" t="str">
        <f t="shared" si="1"/>
        <v/>
      </c>
      <c r="G114" s="30"/>
    </row>
    <row r="115" spans="2:7" x14ac:dyDescent="0.3">
      <c r="B115" s="33"/>
      <c r="C115" s="24"/>
      <c r="D115" s="34"/>
      <c r="E115" s="34"/>
      <c r="F115" s="29" t="str">
        <f t="shared" si="1"/>
        <v/>
      </c>
      <c r="G115" s="30"/>
    </row>
    <row r="116" spans="2:7" x14ac:dyDescent="0.3">
      <c r="B116" s="33"/>
      <c r="C116" s="24"/>
      <c r="D116" s="34"/>
      <c r="E116" s="34"/>
      <c r="F116" s="31" t="str">
        <f t="shared" si="1"/>
        <v/>
      </c>
      <c r="G116" s="30"/>
    </row>
    <row r="117" spans="2:7" x14ac:dyDescent="0.3">
      <c r="B117" s="33"/>
      <c r="C117" s="24"/>
      <c r="D117" s="34"/>
      <c r="E117" s="34"/>
      <c r="F117" s="29" t="str">
        <f t="shared" si="1"/>
        <v/>
      </c>
      <c r="G117" s="30"/>
    </row>
    <row r="118" spans="2:7" x14ac:dyDescent="0.3">
      <c r="B118" s="33"/>
      <c r="C118" s="24"/>
      <c r="D118" s="34"/>
      <c r="E118" s="34"/>
      <c r="F118" s="31" t="str">
        <f t="shared" si="1"/>
        <v/>
      </c>
      <c r="G118" s="30"/>
    </row>
    <row r="119" spans="2:7" x14ac:dyDescent="0.3">
      <c r="B119" s="33"/>
      <c r="C119" s="24"/>
      <c r="D119" s="34"/>
      <c r="E119" s="34"/>
      <c r="F119" s="29" t="str">
        <f t="shared" si="1"/>
        <v/>
      </c>
      <c r="G119" s="30"/>
    </row>
    <row r="120" spans="2:7" x14ac:dyDescent="0.3">
      <c r="B120" s="33"/>
      <c r="C120" s="24"/>
      <c r="D120" s="34"/>
      <c r="E120" s="34"/>
      <c r="F120" s="31" t="str">
        <f t="shared" si="1"/>
        <v/>
      </c>
      <c r="G120" s="30"/>
    </row>
    <row r="121" spans="2:7" x14ac:dyDescent="0.3">
      <c r="B121" s="33"/>
      <c r="C121" s="24"/>
      <c r="D121" s="34"/>
      <c r="E121" s="34"/>
      <c r="F121" s="29" t="str">
        <f t="shared" si="1"/>
        <v/>
      </c>
      <c r="G121" s="30"/>
    </row>
    <row r="122" spans="2:7" x14ac:dyDescent="0.3">
      <c r="B122" s="33"/>
      <c r="C122" s="24"/>
      <c r="D122" s="34"/>
      <c r="E122" s="34"/>
      <c r="F122" s="31" t="str">
        <f t="shared" si="1"/>
        <v/>
      </c>
      <c r="G122" s="30"/>
    </row>
    <row r="123" spans="2:7" x14ac:dyDescent="0.3">
      <c r="B123" s="33"/>
      <c r="C123" s="24"/>
      <c r="D123" s="34"/>
      <c r="E123" s="34"/>
      <c r="F123" s="29" t="str">
        <f t="shared" si="1"/>
        <v/>
      </c>
      <c r="G123" s="30"/>
    </row>
    <row r="124" spans="2:7" x14ac:dyDescent="0.3">
      <c r="B124" s="33"/>
      <c r="C124" s="24"/>
      <c r="D124" s="34"/>
      <c r="E124" s="34"/>
      <c r="F124" s="31" t="str">
        <f t="shared" si="1"/>
        <v/>
      </c>
      <c r="G124" s="30"/>
    </row>
    <row r="125" spans="2:7" x14ac:dyDescent="0.3">
      <c r="B125" s="33"/>
      <c r="C125" s="24"/>
      <c r="D125" s="34"/>
      <c r="E125" s="34"/>
      <c r="F125" s="29" t="str">
        <f t="shared" si="1"/>
        <v/>
      </c>
      <c r="G125" s="30"/>
    </row>
    <row r="126" spans="2:7" x14ac:dyDescent="0.3">
      <c r="B126" s="33"/>
      <c r="C126" s="24"/>
      <c r="D126" s="34"/>
      <c r="E126" s="34"/>
      <c r="F126" s="31" t="str">
        <f t="shared" si="1"/>
        <v/>
      </c>
      <c r="G126" s="30"/>
    </row>
    <row r="127" spans="2:7" x14ac:dyDescent="0.3">
      <c r="B127" s="33"/>
      <c r="C127" s="24"/>
      <c r="D127" s="34"/>
      <c r="E127" s="34"/>
      <c r="F127" s="29" t="str">
        <f t="shared" si="1"/>
        <v/>
      </c>
      <c r="G127" s="30"/>
    </row>
    <row r="128" spans="2:7" x14ac:dyDescent="0.3">
      <c r="B128" s="33"/>
      <c r="C128" s="24"/>
      <c r="D128" s="34"/>
      <c r="E128" s="34"/>
      <c r="F128" s="31" t="str">
        <f t="shared" si="1"/>
        <v/>
      </c>
      <c r="G128" s="30"/>
    </row>
    <row r="129" spans="2:7" x14ac:dyDescent="0.3">
      <c r="B129" s="33"/>
      <c r="C129" s="24"/>
      <c r="D129" s="34"/>
      <c r="E129" s="34"/>
      <c r="F129" s="29" t="str">
        <f t="shared" si="1"/>
        <v/>
      </c>
      <c r="G129" s="30"/>
    </row>
    <row r="130" spans="2:7" x14ac:dyDescent="0.3">
      <c r="B130" s="33"/>
      <c r="C130" s="24"/>
      <c r="D130" s="34"/>
      <c r="E130" s="34"/>
      <c r="F130" s="31" t="str">
        <f t="shared" si="1"/>
        <v/>
      </c>
      <c r="G130" s="30"/>
    </row>
    <row r="131" spans="2:7" x14ac:dyDescent="0.3">
      <c r="B131" s="33"/>
      <c r="C131" s="24"/>
      <c r="D131" s="34"/>
      <c r="E131" s="34"/>
      <c r="F131" s="29" t="str">
        <f t="shared" si="1"/>
        <v/>
      </c>
      <c r="G131" s="30"/>
    </row>
    <row r="132" spans="2:7" x14ac:dyDescent="0.3">
      <c r="B132" s="33"/>
      <c r="C132" s="24"/>
      <c r="D132" s="34"/>
      <c r="E132" s="34"/>
      <c r="F132" s="31" t="str">
        <f t="shared" si="1"/>
        <v/>
      </c>
      <c r="G132" s="30"/>
    </row>
    <row r="133" spans="2:7" x14ac:dyDescent="0.3">
      <c r="B133" s="33"/>
      <c r="C133" s="24"/>
      <c r="D133" s="34"/>
      <c r="E133" s="34"/>
      <c r="F133" s="29" t="str">
        <f t="shared" ref="F133:F196" si="2">IF(OR(D133="",E133=""),"",D133*E133)</f>
        <v/>
      </c>
      <c r="G133" s="30"/>
    </row>
    <row r="134" spans="2:7" x14ac:dyDescent="0.3">
      <c r="B134" s="33"/>
      <c r="C134" s="24"/>
      <c r="D134" s="34"/>
      <c r="E134" s="34"/>
      <c r="F134" s="31" t="str">
        <f t="shared" si="2"/>
        <v/>
      </c>
      <c r="G134" s="30"/>
    </row>
    <row r="135" spans="2:7" x14ac:dyDescent="0.3">
      <c r="B135" s="33"/>
      <c r="C135" s="24"/>
      <c r="D135" s="34"/>
      <c r="E135" s="34"/>
      <c r="F135" s="29" t="str">
        <f t="shared" si="2"/>
        <v/>
      </c>
      <c r="G135" s="30"/>
    </row>
    <row r="136" spans="2:7" x14ac:dyDescent="0.3">
      <c r="B136" s="33"/>
      <c r="C136" s="24"/>
      <c r="D136" s="34"/>
      <c r="E136" s="34"/>
      <c r="F136" s="31" t="str">
        <f t="shared" si="2"/>
        <v/>
      </c>
      <c r="G136" s="30"/>
    </row>
    <row r="137" spans="2:7" x14ac:dyDescent="0.3">
      <c r="B137" s="33"/>
      <c r="C137" s="24"/>
      <c r="D137" s="34"/>
      <c r="E137" s="34"/>
      <c r="F137" s="29" t="str">
        <f t="shared" si="2"/>
        <v/>
      </c>
      <c r="G137" s="30"/>
    </row>
    <row r="138" spans="2:7" x14ac:dyDescent="0.3">
      <c r="B138" s="33"/>
      <c r="C138" s="24"/>
      <c r="D138" s="34"/>
      <c r="E138" s="34"/>
      <c r="F138" s="31" t="str">
        <f t="shared" si="2"/>
        <v/>
      </c>
      <c r="G138" s="30"/>
    </row>
    <row r="139" spans="2:7" x14ac:dyDescent="0.3">
      <c r="B139" s="33"/>
      <c r="C139" s="24"/>
      <c r="D139" s="34"/>
      <c r="E139" s="34"/>
      <c r="F139" s="29" t="str">
        <f t="shared" si="2"/>
        <v/>
      </c>
      <c r="G139" s="30"/>
    </row>
    <row r="140" spans="2:7" x14ac:dyDescent="0.3">
      <c r="B140" s="33"/>
      <c r="C140" s="24"/>
      <c r="D140" s="34"/>
      <c r="E140" s="34"/>
      <c r="F140" s="31" t="str">
        <f t="shared" si="2"/>
        <v/>
      </c>
      <c r="G140" s="30"/>
    </row>
    <row r="141" spans="2:7" x14ac:dyDescent="0.3">
      <c r="B141" s="33"/>
      <c r="C141" s="24"/>
      <c r="D141" s="34"/>
      <c r="E141" s="34"/>
      <c r="F141" s="29" t="str">
        <f t="shared" si="2"/>
        <v/>
      </c>
      <c r="G141" s="30"/>
    </row>
    <row r="142" spans="2:7" x14ac:dyDescent="0.3">
      <c r="B142" s="33"/>
      <c r="C142" s="24"/>
      <c r="D142" s="34"/>
      <c r="E142" s="34"/>
      <c r="F142" s="31" t="str">
        <f t="shared" si="2"/>
        <v/>
      </c>
      <c r="G142" s="30"/>
    </row>
    <row r="143" spans="2:7" x14ac:dyDescent="0.3">
      <c r="B143" s="33"/>
      <c r="C143" s="24"/>
      <c r="D143" s="34"/>
      <c r="E143" s="34"/>
      <c r="F143" s="29" t="str">
        <f t="shared" si="2"/>
        <v/>
      </c>
      <c r="G143" s="30"/>
    </row>
    <row r="144" spans="2:7" x14ac:dyDescent="0.3">
      <c r="B144" s="33"/>
      <c r="C144" s="24"/>
      <c r="D144" s="34"/>
      <c r="E144" s="34"/>
      <c r="F144" s="31" t="str">
        <f t="shared" si="2"/>
        <v/>
      </c>
      <c r="G144" s="30"/>
    </row>
    <row r="145" spans="2:7" x14ac:dyDescent="0.3">
      <c r="B145" s="33"/>
      <c r="C145" s="24"/>
      <c r="D145" s="34"/>
      <c r="E145" s="34"/>
      <c r="F145" s="29" t="str">
        <f t="shared" si="2"/>
        <v/>
      </c>
      <c r="G145" s="30"/>
    </row>
    <row r="146" spans="2:7" x14ac:dyDescent="0.3">
      <c r="B146" s="33"/>
      <c r="C146" s="24"/>
      <c r="D146" s="34"/>
      <c r="E146" s="34"/>
      <c r="F146" s="31" t="str">
        <f t="shared" si="2"/>
        <v/>
      </c>
      <c r="G146" s="30"/>
    </row>
    <row r="147" spans="2:7" x14ac:dyDescent="0.3">
      <c r="B147" s="33"/>
      <c r="C147" s="24"/>
      <c r="D147" s="34"/>
      <c r="E147" s="34"/>
      <c r="F147" s="29" t="str">
        <f t="shared" si="2"/>
        <v/>
      </c>
      <c r="G147" s="30"/>
    </row>
    <row r="148" spans="2:7" x14ac:dyDescent="0.3">
      <c r="B148" s="33"/>
      <c r="C148" s="24"/>
      <c r="D148" s="34"/>
      <c r="E148" s="34"/>
      <c r="F148" s="31" t="str">
        <f t="shared" si="2"/>
        <v/>
      </c>
      <c r="G148" s="30"/>
    </row>
    <row r="149" spans="2:7" x14ac:dyDescent="0.3">
      <c r="B149" s="33"/>
      <c r="C149" s="24"/>
      <c r="D149" s="34"/>
      <c r="E149" s="34"/>
      <c r="F149" s="29" t="str">
        <f t="shared" si="2"/>
        <v/>
      </c>
      <c r="G149" s="30"/>
    </row>
    <row r="150" spans="2:7" x14ac:dyDescent="0.3">
      <c r="B150" s="33"/>
      <c r="C150" s="24"/>
      <c r="D150" s="34"/>
      <c r="E150" s="34"/>
      <c r="F150" s="31" t="str">
        <f t="shared" si="2"/>
        <v/>
      </c>
      <c r="G150" s="30"/>
    </row>
    <row r="151" spans="2:7" x14ac:dyDescent="0.3">
      <c r="B151" s="33"/>
      <c r="C151" s="24"/>
      <c r="D151" s="34"/>
      <c r="E151" s="34"/>
      <c r="F151" s="29" t="str">
        <f t="shared" si="2"/>
        <v/>
      </c>
      <c r="G151" s="30"/>
    </row>
    <row r="152" spans="2:7" x14ac:dyDescent="0.3">
      <c r="B152" s="33"/>
      <c r="C152" s="24"/>
      <c r="D152" s="34"/>
      <c r="E152" s="34"/>
      <c r="F152" s="31" t="str">
        <f t="shared" si="2"/>
        <v/>
      </c>
      <c r="G152" s="30"/>
    </row>
    <row r="153" spans="2:7" x14ac:dyDescent="0.3">
      <c r="B153" s="33"/>
      <c r="C153" s="24"/>
      <c r="D153" s="34"/>
      <c r="E153" s="34"/>
      <c r="F153" s="29" t="str">
        <f t="shared" si="2"/>
        <v/>
      </c>
      <c r="G153" s="30"/>
    </row>
    <row r="154" spans="2:7" x14ac:dyDescent="0.3">
      <c r="B154" s="33"/>
      <c r="C154" s="24"/>
      <c r="D154" s="34"/>
      <c r="E154" s="34"/>
      <c r="F154" s="31" t="str">
        <f t="shared" si="2"/>
        <v/>
      </c>
      <c r="G154" s="30"/>
    </row>
    <row r="155" spans="2:7" x14ac:dyDescent="0.3">
      <c r="B155" s="33"/>
      <c r="C155" s="24"/>
      <c r="D155" s="34"/>
      <c r="E155" s="34"/>
      <c r="F155" s="29" t="str">
        <f t="shared" si="2"/>
        <v/>
      </c>
      <c r="G155" s="30"/>
    </row>
    <row r="156" spans="2:7" x14ac:dyDescent="0.3">
      <c r="B156" s="33"/>
      <c r="C156" s="24"/>
      <c r="D156" s="34"/>
      <c r="E156" s="34"/>
      <c r="F156" s="31" t="str">
        <f t="shared" si="2"/>
        <v/>
      </c>
      <c r="G156" s="30"/>
    </row>
    <row r="157" spans="2:7" x14ac:dyDescent="0.3">
      <c r="B157" s="33"/>
      <c r="C157" s="24"/>
      <c r="D157" s="34"/>
      <c r="E157" s="34"/>
      <c r="F157" s="29" t="str">
        <f t="shared" si="2"/>
        <v/>
      </c>
      <c r="G157" s="30"/>
    </row>
    <row r="158" spans="2:7" x14ac:dyDescent="0.3">
      <c r="B158" s="33"/>
      <c r="C158" s="24"/>
      <c r="D158" s="34"/>
      <c r="E158" s="34"/>
      <c r="F158" s="31" t="str">
        <f t="shared" si="2"/>
        <v/>
      </c>
      <c r="G158" s="30"/>
    </row>
    <row r="159" spans="2:7" x14ac:dyDescent="0.3">
      <c r="B159" s="33"/>
      <c r="C159" s="24"/>
      <c r="D159" s="34"/>
      <c r="E159" s="34"/>
      <c r="F159" s="29" t="str">
        <f t="shared" si="2"/>
        <v/>
      </c>
      <c r="G159" s="30"/>
    </row>
    <row r="160" spans="2:7" x14ac:dyDescent="0.3">
      <c r="B160" s="33"/>
      <c r="C160" s="24"/>
      <c r="D160" s="34"/>
      <c r="E160" s="34"/>
      <c r="F160" s="31" t="str">
        <f t="shared" si="2"/>
        <v/>
      </c>
      <c r="G160" s="30"/>
    </row>
    <row r="161" spans="2:7" x14ac:dyDescent="0.3">
      <c r="B161" s="33"/>
      <c r="C161" s="24"/>
      <c r="D161" s="34"/>
      <c r="E161" s="34"/>
      <c r="F161" s="29" t="str">
        <f t="shared" si="2"/>
        <v/>
      </c>
      <c r="G161" s="30"/>
    </row>
    <row r="162" spans="2:7" x14ac:dyDescent="0.3">
      <c r="B162" s="33"/>
      <c r="C162" s="24"/>
      <c r="D162" s="34"/>
      <c r="E162" s="34"/>
      <c r="F162" s="31" t="str">
        <f t="shared" si="2"/>
        <v/>
      </c>
      <c r="G162" s="30"/>
    </row>
    <row r="163" spans="2:7" x14ac:dyDescent="0.3">
      <c r="B163" s="33"/>
      <c r="C163" s="24"/>
      <c r="D163" s="34"/>
      <c r="E163" s="34"/>
      <c r="F163" s="29" t="str">
        <f t="shared" si="2"/>
        <v/>
      </c>
      <c r="G163" s="30"/>
    </row>
    <row r="164" spans="2:7" x14ac:dyDescent="0.3">
      <c r="B164" s="33"/>
      <c r="C164" s="24"/>
      <c r="D164" s="34"/>
      <c r="E164" s="34"/>
      <c r="F164" s="31" t="str">
        <f t="shared" si="2"/>
        <v/>
      </c>
      <c r="G164" s="30"/>
    </row>
    <row r="165" spans="2:7" x14ac:dyDescent="0.3">
      <c r="B165" s="33"/>
      <c r="C165" s="24"/>
      <c r="D165" s="34"/>
      <c r="E165" s="34"/>
      <c r="F165" s="29" t="str">
        <f t="shared" si="2"/>
        <v/>
      </c>
      <c r="G165" s="30"/>
    </row>
    <row r="166" spans="2:7" x14ac:dyDescent="0.3">
      <c r="B166" s="33"/>
      <c r="C166" s="24"/>
      <c r="D166" s="34"/>
      <c r="E166" s="34"/>
      <c r="F166" s="31" t="str">
        <f t="shared" si="2"/>
        <v/>
      </c>
      <c r="G166" s="30"/>
    </row>
    <row r="167" spans="2:7" x14ac:dyDescent="0.3">
      <c r="B167" s="33"/>
      <c r="C167" s="24"/>
      <c r="D167" s="34"/>
      <c r="E167" s="34"/>
      <c r="F167" s="29" t="str">
        <f t="shared" si="2"/>
        <v/>
      </c>
      <c r="G167" s="30"/>
    </row>
    <row r="168" spans="2:7" x14ac:dyDescent="0.3">
      <c r="B168" s="33"/>
      <c r="C168" s="24"/>
      <c r="D168" s="34"/>
      <c r="E168" s="34"/>
      <c r="F168" s="31" t="str">
        <f t="shared" si="2"/>
        <v/>
      </c>
      <c r="G168" s="30"/>
    </row>
    <row r="169" spans="2:7" x14ac:dyDescent="0.3">
      <c r="B169" s="33"/>
      <c r="C169" s="24"/>
      <c r="D169" s="34"/>
      <c r="E169" s="34"/>
      <c r="F169" s="29" t="str">
        <f t="shared" si="2"/>
        <v/>
      </c>
      <c r="G169" s="30"/>
    </row>
    <row r="170" spans="2:7" x14ac:dyDescent="0.3">
      <c r="B170" s="33"/>
      <c r="C170" s="24"/>
      <c r="D170" s="34"/>
      <c r="E170" s="34"/>
      <c r="F170" s="31" t="str">
        <f t="shared" si="2"/>
        <v/>
      </c>
      <c r="G170" s="30"/>
    </row>
    <row r="171" spans="2:7" x14ac:dyDescent="0.3">
      <c r="B171" s="33"/>
      <c r="C171" s="24"/>
      <c r="D171" s="34"/>
      <c r="E171" s="34"/>
      <c r="F171" s="29" t="str">
        <f t="shared" si="2"/>
        <v/>
      </c>
      <c r="G171" s="30"/>
    </row>
    <row r="172" spans="2:7" x14ac:dyDescent="0.3">
      <c r="B172" s="33"/>
      <c r="C172" s="24"/>
      <c r="D172" s="34"/>
      <c r="E172" s="34"/>
      <c r="F172" s="31" t="str">
        <f t="shared" si="2"/>
        <v/>
      </c>
      <c r="G172" s="30"/>
    </row>
    <row r="173" spans="2:7" x14ac:dyDescent="0.3">
      <c r="B173" s="33"/>
      <c r="C173" s="24"/>
      <c r="D173" s="34"/>
      <c r="E173" s="34"/>
      <c r="F173" s="29" t="str">
        <f t="shared" si="2"/>
        <v/>
      </c>
      <c r="G173" s="30"/>
    </row>
    <row r="174" spans="2:7" x14ac:dyDescent="0.3">
      <c r="B174" s="33"/>
      <c r="C174" s="24"/>
      <c r="D174" s="34"/>
      <c r="E174" s="34"/>
      <c r="F174" s="31" t="str">
        <f t="shared" si="2"/>
        <v/>
      </c>
      <c r="G174" s="30"/>
    </row>
    <row r="175" spans="2:7" x14ac:dyDescent="0.3">
      <c r="B175" s="33"/>
      <c r="C175" s="24"/>
      <c r="D175" s="34"/>
      <c r="E175" s="34"/>
      <c r="F175" s="29" t="str">
        <f t="shared" si="2"/>
        <v/>
      </c>
      <c r="G175" s="30"/>
    </row>
    <row r="176" spans="2:7" x14ac:dyDescent="0.3">
      <c r="B176" s="33"/>
      <c r="C176" s="24"/>
      <c r="D176" s="34"/>
      <c r="E176" s="34"/>
      <c r="F176" s="31" t="str">
        <f t="shared" si="2"/>
        <v/>
      </c>
      <c r="G176" s="30"/>
    </row>
    <row r="177" spans="2:7" x14ac:dyDescent="0.3">
      <c r="B177" s="33"/>
      <c r="C177" s="24"/>
      <c r="D177" s="34"/>
      <c r="E177" s="34"/>
      <c r="F177" s="29" t="str">
        <f t="shared" si="2"/>
        <v/>
      </c>
      <c r="G177" s="30"/>
    </row>
    <row r="178" spans="2:7" x14ac:dyDescent="0.3">
      <c r="B178" s="33"/>
      <c r="C178" s="24"/>
      <c r="D178" s="34"/>
      <c r="E178" s="34"/>
      <c r="F178" s="31" t="str">
        <f t="shared" si="2"/>
        <v/>
      </c>
      <c r="G178" s="30"/>
    </row>
    <row r="179" spans="2:7" x14ac:dyDescent="0.3">
      <c r="B179" s="33"/>
      <c r="C179" s="24"/>
      <c r="D179" s="34"/>
      <c r="E179" s="34"/>
      <c r="F179" s="29" t="str">
        <f t="shared" si="2"/>
        <v/>
      </c>
      <c r="G179" s="30"/>
    </row>
    <row r="180" spans="2:7" x14ac:dyDescent="0.3">
      <c r="B180" s="33"/>
      <c r="C180" s="24"/>
      <c r="D180" s="34"/>
      <c r="E180" s="34"/>
      <c r="F180" s="31" t="str">
        <f t="shared" si="2"/>
        <v/>
      </c>
      <c r="G180" s="30"/>
    </row>
    <row r="181" spans="2:7" x14ac:dyDescent="0.3">
      <c r="B181" s="33"/>
      <c r="C181" s="24"/>
      <c r="D181" s="34"/>
      <c r="E181" s="34"/>
      <c r="F181" s="29" t="str">
        <f t="shared" si="2"/>
        <v/>
      </c>
      <c r="G181" s="30"/>
    </row>
    <row r="182" spans="2:7" x14ac:dyDescent="0.3">
      <c r="B182" s="33"/>
      <c r="C182" s="24"/>
      <c r="D182" s="34"/>
      <c r="E182" s="34"/>
      <c r="F182" s="31" t="str">
        <f t="shared" si="2"/>
        <v/>
      </c>
      <c r="G182" s="30"/>
    </row>
    <row r="183" spans="2:7" x14ac:dyDescent="0.3">
      <c r="B183" s="33"/>
      <c r="C183" s="24"/>
      <c r="D183" s="34"/>
      <c r="E183" s="34"/>
      <c r="F183" s="29" t="str">
        <f t="shared" si="2"/>
        <v/>
      </c>
      <c r="G183" s="30"/>
    </row>
    <row r="184" spans="2:7" x14ac:dyDescent="0.3">
      <c r="B184" s="33"/>
      <c r="C184" s="24"/>
      <c r="D184" s="34"/>
      <c r="E184" s="34"/>
      <c r="F184" s="31" t="str">
        <f t="shared" si="2"/>
        <v/>
      </c>
      <c r="G184" s="30"/>
    </row>
    <row r="185" spans="2:7" x14ac:dyDescent="0.3">
      <c r="B185" s="33"/>
      <c r="C185" s="24"/>
      <c r="D185" s="34"/>
      <c r="E185" s="34"/>
      <c r="F185" s="29" t="str">
        <f t="shared" si="2"/>
        <v/>
      </c>
      <c r="G185" s="30"/>
    </row>
    <row r="186" spans="2:7" x14ac:dyDescent="0.3">
      <c r="B186" s="33"/>
      <c r="C186" s="24"/>
      <c r="D186" s="34"/>
      <c r="E186" s="34"/>
      <c r="F186" s="31" t="str">
        <f t="shared" si="2"/>
        <v/>
      </c>
      <c r="G186" s="30"/>
    </row>
    <row r="187" spans="2:7" x14ac:dyDescent="0.3">
      <c r="B187" s="33"/>
      <c r="C187" s="24"/>
      <c r="D187" s="34"/>
      <c r="E187" s="34"/>
      <c r="F187" s="29" t="str">
        <f t="shared" si="2"/>
        <v/>
      </c>
      <c r="G187" s="30"/>
    </row>
    <row r="188" spans="2:7" x14ac:dyDescent="0.3">
      <c r="B188" s="33"/>
      <c r="C188" s="24"/>
      <c r="D188" s="34"/>
      <c r="E188" s="34"/>
      <c r="F188" s="31" t="str">
        <f t="shared" si="2"/>
        <v/>
      </c>
      <c r="G188" s="30"/>
    </row>
    <row r="189" spans="2:7" x14ac:dyDescent="0.3">
      <c r="B189" s="33"/>
      <c r="C189" s="24"/>
      <c r="D189" s="34"/>
      <c r="E189" s="34"/>
      <c r="F189" s="29" t="str">
        <f t="shared" si="2"/>
        <v/>
      </c>
      <c r="G189" s="30"/>
    </row>
    <row r="190" spans="2:7" x14ac:dyDescent="0.3">
      <c r="B190" s="33"/>
      <c r="C190" s="24"/>
      <c r="D190" s="34"/>
      <c r="E190" s="34"/>
      <c r="F190" s="31" t="str">
        <f t="shared" si="2"/>
        <v/>
      </c>
      <c r="G190" s="30"/>
    </row>
    <row r="191" spans="2:7" x14ac:dyDescent="0.3">
      <c r="B191" s="33"/>
      <c r="C191" s="24"/>
      <c r="D191" s="34"/>
      <c r="E191" s="34"/>
      <c r="F191" s="29" t="str">
        <f t="shared" si="2"/>
        <v/>
      </c>
      <c r="G191" s="30"/>
    </row>
    <row r="192" spans="2:7" x14ac:dyDescent="0.3">
      <c r="B192" s="33"/>
      <c r="C192" s="24"/>
      <c r="D192" s="34"/>
      <c r="E192" s="34"/>
      <c r="F192" s="31" t="str">
        <f t="shared" si="2"/>
        <v/>
      </c>
      <c r="G192" s="30"/>
    </row>
    <row r="193" spans="2:7" x14ac:dyDescent="0.3">
      <c r="B193" s="33"/>
      <c r="C193" s="24"/>
      <c r="D193" s="34"/>
      <c r="E193" s="34"/>
      <c r="F193" s="29" t="str">
        <f t="shared" si="2"/>
        <v/>
      </c>
      <c r="G193" s="30"/>
    </row>
    <row r="194" spans="2:7" x14ac:dyDescent="0.3">
      <c r="B194" s="33"/>
      <c r="C194" s="24"/>
      <c r="D194" s="34"/>
      <c r="E194" s="34"/>
      <c r="F194" s="31" t="str">
        <f t="shared" si="2"/>
        <v/>
      </c>
      <c r="G194" s="30"/>
    </row>
    <row r="195" spans="2:7" x14ac:dyDescent="0.3">
      <c r="B195" s="33"/>
      <c r="C195" s="24"/>
      <c r="D195" s="34"/>
      <c r="E195" s="34"/>
      <c r="F195" s="29" t="str">
        <f t="shared" si="2"/>
        <v/>
      </c>
      <c r="G195" s="30"/>
    </row>
    <row r="196" spans="2:7" x14ac:dyDescent="0.3">
      <c r="B196" s="33"/>
      <c r="C196" s="24"/>
      <c r="D196" s="34"/>
      <c r="E196" s="34"/>
      <c r="F196" s="31" t="str">
        <f t="shared" si="2"/>
        <v/>
      </c>
      <c r="G196" s="30"/>
    </row>
    <row r="197" spans="2:7" x14ac:dyDescent="0.3">
      <c r="B197" s="33"/>
      <c r="C197" s="24"/>
      <c r="D197" s="34"/>
      <c r="E197" s="34"/>
      <c r="F197" s="29" t="str">
        <f t="shared" ref="F197:F260" si="3">IF(OR(D197="",E197=""),"",D197*E197)</f>
        <v/>
      </c>
      <c r="G197" s="30"/>
    </row>
    <row r="198" spans="2:7" x14ac:dyDescent="0.3">
      <c r="B198" s="33"/>
      <c r="C198" s="24"/>
      <c r="D198" s="34"/>
      <c r="E198" s="34"/>
      <c r="F198" s="31" t="str">
        <f t="shared" si="3"/>
        <v/>
      </c>
      <c r="G198" s="30"/>
    </row>
    <row r="199" spans="2:7" x14ac:dyDescent="0.3">
      <c r="B199" s="33"/>
      <c r="C199" s="24"/>
      <c r="D199" s="34"/>
      <c r="E199" s="34"/>
      <c r="F199" s="29" t="str">
        <f t="shared" si="3"/>
        <v/>
      </c>
      <c r="G199" s="30"/>
    </row>
    <row r="200" spans="2:7" x14ac:dyDescent="0.3">
      <c r="B200" s="33"/>
      <c r="C200" s="24"/>
      <c r="D200" s="34"/>
      <c r="E200" s="34"/>
      <c r="F200" s="31" t="str">
        <f t="shared" si="3"/>
        <v/>
      </c>
      <c r="G200" s="30"/>
    </row>
    <row r="201" spans="2:7" x14ac:dyDescent="0.3">
      <c r="B201" s="33"/>
      <c r="C201" s="24"/>
      <c r="D201" s="34"/>
      <c r="E201" s="34"/>
      <c r="F201" s="29" t="str">
        <f t="shared" si="3"/>
        <v/>
      </c>
      <c r="G201" s="30"/>
    </row>
    <row r="202" spans="2:7" x14ac:dyDescent="0.3">
      <c r="B202" s="33"/>
      <c r="C202" s="24"/>
      <c r="D202" s="34"/>
      <c r="E202" s="34"/>
      <c r="F202" s="31" t="str">
        <f t="shared" si="3"/>
        <v/>
      </c>
      <c r="G202" s="30"/>
    </row>
    <row r="203" spans="2:7" x14ac:dyDescent="0.3">
      <c r="B203" s="33"/>
      <c r="C203" s="24"/>
      <c r="D203" s="34"/>
      <c r="E203" s="34"/>
      <c r="F203" s="29" t="str">
        <f t="shared" si="3"/>
        <v/>
      </c>
      <c r="G203" s="30"/>
    </row>
    <row r="204" spans="2:7" x14ac:dyDescent="0.3">
      <c r="B204" s="33"/>
      <c r="C204" s="24"/>
      <c r="D204" s="34"/>
      <c r="E204" s="34"/>
      <c r="F204" s="31" t="str">
        <f t="shared" si="3"/>
        <v/>
      </c>
      <c r="G204" s="30"/>
    </row>
    <row r="205" spans="2:7" x14ac:dyDescent="0.3">
      <c r="B205" s="33"/>
      <c r="C205" s="24"/>
      <c r="D205" s="34"/>
      <c r="E205" s="34"/>
      <c r="F205" s="29" t="str">
        <f t="shared" si="3"/>
        <v/>
      </c>
      <c r="G205" s="30"/>
    </row>
    <row r="206" spans="2:7" x14ac:dyDescent="0.3">
      <c r="B206" s="33"/>
      <c r="C206" s="24"/>
      <c r="D206" s="34"/>
      <c r="E206" s="34"/>
      <c r="F206" s="31" t="str">
        <f t="shared" si="3"/>
        <v/>
      </c>
      <c r="G206" s="30"/>
    </row>
    <row r="207" spans="2:7" x14ac:dyDescent="0.3">
      <c r="B207" s="33"/>
      <c r="C207" s="24"/>
      <c r="D207" s="34"/>
      <c r="E207" s="34"/>
      <c r="F207" s="29" t="str">
        <f t="shared" si="3"/>
        <v/>
      </c>
      <c r="G207" s="30"/>
    </row>
    <row r="208" spans="2:7" x14ac:dyDescent="0.3">
      <c r="B208" s="33"/>
      <c r="C208" s="24"/>
      <c r="D208" s="34"/>
      <c r="E208" s="34"/>
      <c r="F208" s="31" t="str">
        <f t="shared" si="3"/>
        <v/>
      </c>
      <c r="G208" s="30"/>
    </row>
    <row r="209" spans="2:7" x14ac:dyDescent="0.3">
      <c r="B209" s="33"/>
      <c r="C209" s="24"/>
      <c r="D209" s="34"/>
      <c r="E209" s="34"/>
      <c r="F209" s="29" t="str">
        <f t="shared" si="3"/>
        <v/>
      </c>
      <c r="G209" s="30"/>
    </row>
    <row r="210" spans="2:7" x14ac:dyDescent="0.3">
      <c r="B210" s="33"/>
      <c r="C210" s="24"/>
      <c r="D210" s="34"/>
      <c r="E210" s="34"/>
      <c r="F210" s="31" t="str">
        <f t="shared" si="3"/>
        <v/>
      </c>
      <c r="G210" s="30"/>
    </row>
    <row r="211" spans="2:7" x14ac:dyDescent="0.3">
      <c r="B211" s="33"/>
      <c r="C211" s="24"/>
      <c r="D211" s="34"/>
      <c r="E211" s="34"/>
      <c r="F211" s="29" t="str">
        <f t="shared" si="3"/>
        <v/>
      </c>
      <c r="G211" s="30"/>
    </row>
    <row r="212" spans="2:7" x14ac:dyDescent="0.3">
      <c r="B212" s="33"/>
      <c r="C212" s="24"/>
      <c r="D212" s="34"/>
      <c r="E212" s="34"/>
      <c r="F212" s="31" t="str">
        <f t="shared" si="3"/>
        <v/>
      </c>
      <c r="G212" s="30"/>
    </row>
    <row r="213" spans="2:7" x14ac:dyDescent="0.3">
      <c r="B213" s="33"/>
      <c r="C213" s="24"/>
      <c r="D213" s="34"/>
      <c r="E213" s="34"/>
      <c r="F213" s="29" t="str">
        <f t="shared" si="3"/>
        <v/>
      </c>
      <c r="G213" s="30"/>
    </row>
    <row r="214" spans="2:7" x14ac:dyDescent="0.3">
      <c r="B214" s="33"/>
      <c r="C214" s="24"/>
      <c r="D214" s="34"/>
      <c r="E214" s="34"/>
      <c r="F214" s="31" t="str">
        <f t="shared" si="3"/>
        <v/>
      </c>
      <c r="G214" s="30"/>
    </row>
    <row r="215" spans="2:7" x14ac:dyDescent="0.3">
      <c r="B215" s="33"/>
      <c r="C215" s="24"/>
      <c r="D215" s="34"/>
      <c r="E215" s="34"/>
      <c r="F215" s="29" t="str">
        <f t="shared" si="3"/>
        <v/>
      </c>
      <c r="G215" s="30"/>
    </row>
    <row r="216" spans="2:7" x14ac:dyDescent="0.3">
      <c r="B216" s="33"/>
      <c r="C216" s="24"/>
      <c r="D216" s="34"/>
      <c r="E216" s="34"/>
      <c r="F216" s="31" t="str">
        <f t="shared" si="3"/>
        <v/>
      </c>
      <c r="G216" s="30"/>
    </row>
    <row r="217" spans="2:7" x14ac:dyDescent="0.3">
      <c r="B217" s="33"/>
      <c r="C217" s="24"/>
      <c r="D217" s="34"/>
      <c r="E217" s="34"/>
      <c r="F217" s="29" t="str">
        <f t="shared" si="3"/>
        <v/>
      </c>
      <c r="G217" s="30"/>
    </row>
    <row r="218" spans="2:7" x14ac:dyDescent="0.3">
      <c r="B218" s="33"/>
      <c r="C218" s="24"/>
      <c r="D218" s="34"/>
      <c r="E218" s="34"/>
      <c r="F218" s="31" t="str">
        <f t="shared" si="3"/>
        <v/>
      </c>
      <c r="G218" s="30"/>
    </row>
    <row r="219" spans="2:7" x14ac:dyDescent="0.3">
      <c r="B219" s="33"/>
      <c r="C219" s="24"/>
      <c r="D219" s="34"/>
      <c r="E219" s="34"/>
      <c r="F219" s="29" t="str">
        <f t="shared" si="3"/>
        <v/>
      </c>
      <c r="G219" s="30"/>
    </row>
    <row r="220" spans="2:7" x14ac:dyDescent="0.3">
      <c r="B220" s="33"/>
      <c r="C220" s="24"/>
      <c r="D220" s="34"/>
      <c r="E220" s="34"/>
      <c r="F220" s="31" t="str">
        <f t="shared" si="3"/>
        <v/>
      </c>
      <c r="G220" s="30"/>
    </row>
    <row r="221" spans="2:7" x14ac:dyDescent="0.3">
      <c r="B221" s="33"/>
      <c r="C221" s="24"/>
      <c r="D221" s="34"/>
      <c r="E221" s="34"/>
      <c r="F221" s="29" t="str">
        <f t="shared" si="3"/>
        <v/>
      </c>
      <c r="G221" s="30"/>
    </row>
    <row r="222" spans="2:7" x14ac:dyDescent="0.3">
      <c r="B222" s="33"/>
      <c r="C222" s="24"/>
      <c r="D222" s="34"/>
      <c r="E222" s="34"/>
      <c r="F222" s="31" t="str">
        <f t="shared" si="3"/>
        <v/>
      </c>
      <c r="G222" s="30"/>
    </row>
    <row r="223" spans="2:7" x14ac:dyDescent="0.3">
      <c r="B223" s="33"/>
      <c r="C223" s="24"/>
      <c r="D223" s="34"/>
      <c r="E223" s="34"/>
      <c r="F223" s="29" t="str">
        <f t="shared" si="3"/>
        <v/>
      </c>
      <c r="G223" s="30"/>
    </row>
    <row r="224" spans="2:7" x14ac:dyDescent="0.3">
      <c r="B224" s="33"/>
      <c r="C224" s="24"/>
      <c r="D224" s="34"/>
      <c r="E224" s="34"/>
      <c r="F224" s="31" t="str">
        <f t="shared" si="3"/>
        <v/>
      </c>
      <c r="G224" s="30"/>
    </row>
    <row r="225" spans="2:7" x14ac:dyDescent="0.3">
      <c r="B225" s="33"/>
      <c r="C225" s="24"/>
      <c r="D225" s="34"/>
      <c r="E225" s="34"/>
      <c r="F225" s="29" t="str">
        <f t="shared" si="3"/>
        <v/>
      </c>
      <c r="G225" s="30"/>
    </row>
    <row r="226" spans="2:7" x14ac:dyDescent="0.3">
      <c r="B226" s="33"/>
      <c r="C226" s="24"/>
      <c r="D226" s="34"/>
      <c r="E226" s="34"/>
      <c r="F226" s="31" t="str">
        <f t="shared" si="3"/>
        <v/>
      </c>
      <c r="G226" s="30"/>
    </row>
    <row r="227" spans="2:7" x14ac:dyDescent="0.3">
      <c r="B227" s="33"/>
      <c r="C227" s="24"/>
      <c r="D227" s="34"/>
      <c r="E227" s="34"/>
      <c r="F227" s="29" t="str">
        <f t="shared" si="3"/>
        <v/>
      </c>
      <c r="G227" s="30"/>
    </row>
    <row r="228" spans="2:7" x14ac:dyDescent="0.3">
      <c r="B228" s="33"/>
      <c r="C228" s="24"/>
      <c r="D228" s="34"/>
      <c r="E228" s="34"/>
      <c r="F228" s="31" t="str">
        <f t="shared" si="3"/>
        <v/>
      </c>
      <c r="G228" s="30"/>
    </row>
    <row r="229" spans="2:7" x14ac:dyDescent="0.3">
      <c r="B229" s="33"/>
      <c r="C229" s="24"/>
      <c r="D229" s="34"/>
      <c r="E229" s="34"/>
      <c r="F229" s="29" t="str">
        <f t="shared" si="3"/>
        <v/>
      </c>
      <c r="G229" s="30"/>
    </row>
    <row r="230" spans="2:7" x14ac:dyDescent="0.3">
      <c r="B230" s="33"/>
      <c r="C230" s="24"/>
      <c r="D230" s="34"/>
      <c r="E230" s="34"/>
      <c r="F230" s="31" t="str">
        <f t="shared" si="3"/>
        <v/>
      </c>
      <c r="G230" s="30"/>
    </row>
    <row r="231" spans="2:7" x14ac:dyDescent="0.3">
      <c r="B231" s="33"/>
      <c r="C231" s="24"/>
      <c r="D231" s="34"/>
      <c r="E231" s="34"/>
      <c r="F231" s="29" t="str">
        <f t="shared" si="3"/>
        <v/>
      </c>
      <c r="G231" s="30"/>
    </row>
    <row r="232" spans="2:7" x14ac:dyDescent="0.3">
      <c r="B232" s="33"/>
      <c r="C232" s="24"/>
      <c r="D232" s="34"/>
      <c r="E232" s="34"/>
      <c r="F232" s="31" t="str">
        <f t="shared" si="3"/>
        <v/>
      </c>
      <c r="G232" s="30"/>
    </row>
    <row r="233" spans="2:7" x14ac:dyDescent="0.3">
      <c r="B233" s="33"/>
      <c r="C233" s="24"/>
      <c r="D233" s="34"/>
      <c r="E233" s="34"/>
      <c r="F233" s="29" t="str">
        <f t="shared" si="3"/>
        <v/>
      </c>
      <c r="G233" s="30"/>
    </row>
    <row r="234" spans="2:7" x14ac:dyDescent="0.3">
      <c r="B234" s="33"/>
      <c r="C234" s="24"/>
      <c r="D234" s="34"/>
      <c r="E234" s="34"/>
      <c r="F234" s="31" t="str">
        <f t="shared" si="3"/>
        <v/>
      </c>
      <c r="G234" s="30"/>
    </row>
    <row r="235" spans="2:7" x14ac:dyDescent="0.3">
      <c r="B235" s="33"/>
      <c r="C235" s="24"/>
      <c r="D235" s="34"/>
      <c r="E235" s="34"/>
      <c r="F235" s="29" t="str">
        <f t="shared" si="3"/>
        <v/>
      </c>
      <c r="G235" s="30"/>
    </row>
    <row r="236" spans="2:7" x14ac:dyDescent="0.3">
      <c r="B236" s="33"/>
      <c r="C236" s="24"/>
      <c r="D236" s="34"/>
      <c r="E236" s="34"/>
      <c r="F236" s="31" t="str">
        <f t="shared" si="3"/>
        <v/>
      </c>
      <c r="G236" s="30"/>
    </row>
    <row r="237" spans="2:7" x14ac:dyDescent="0.3">
      <c r="B237" s="33"/>
      <c r="C237" s="24"/>
      <c r="D237" s="34"/>
      <c r="E237" s="34"/>
      <c r="F237" s="29" t="str">
        <f t="shared" si="3"/>
        <v/>
      </c>
      <c r="G237" s="30"/>
    </row>
    <row r="238" spans="2:7" x14ac:dyDescent="0.3">
      <c r="B238" s="33"/>
      <c r="C238" s="24"/>
      <c r="D238" s="34"/>
      <c r="E238" s="34"/>
      <c r="F238" s="31" t="str">
        <f t="shared" si="3"/>
        <v/>
      </c>
      <c r="G238" s="30"/>
    </row>
    <row r="239" spans="2:7" x14ac:dyDescent="0.3">
      <c r="B239" s="33"/>
      <c r="C239" s="24"/>
      <c r="D239" s="34"/>
      <c r="E239" s="34"/>
      <c r="F239" s="29" t="str">
        <f t="shared" si="3"/>
        <v/>
      </c>
      <c r="G239" s="30"/>
    </row>
    <row r="240" spans="2:7" x14ac:dyDescent="0.3">
      <c r="B240" s="33"/>
      <c r="C240" s="24"/>
      <c r="D240" s="34"/>
      <c r="E240" s="34"/>
      <c r="F240" s="31" t="str">
        <f t="shared" si="3"/>
        <v/>
      </c>
      <c r="G240" s="30"/>
    </row>
    <row r="241" spans="2:7" x14ac:dyDescent="0.3">
      <c r="B241" s="33"/>
      <c r="C241" s="24"/>
      <c r="D241" s="34"/>
      <c r="E241" s="34"/>
      <c r="F241" s="29" t="str">
        <f t="shared" si="3"/>
        <v/>
      </c>
      <c r="G241" s="30"/>
    </row>
    <row r="242" spans="2:7" x14ac:dyDescent="0.3">
      <c r="B242" s="33"/>
      <c r="C242" s="24"/>
      <c r="D242" s="34"/>
      <c r="E242" s="34"/>
      <c r="F242" s="31" t="str">
        <f t="shared" si="3"/>
        <v/>
      </c>
      <c r="G242" s="30"/>
    </row>
    <row r="243" spans="2:7" x14ac:dyDescent="0.3">
      <c r="B243" s="33"/>
      <c r="C243" s="24"/>
      <c r="D243" s="34"/>
      <c r="E243" s="34"/>
      <c r="F243" s="29" t="str">
        <f t="shared" si="3"/>
        <v/>
      </c>
      <c r="G243" s="30"/>
    </row>
    <row r="244" spans="2:7" x14ac:dyDescent="0.3">
      <c r="B244" s="33"/>
      <c r="C244" s="24"/>
      <c r="D244" s="34"/>
      <c r="E244" s="34"/>
      <c r="F244" s="31" t="str">
        <f t="shared" si="3"/>
        <v/>
      </c>
      <c r="G244" s="30"/>
    </row>
    <row r="245" spans="2:7" x14ac:dyDescent="0.3">
      <c r="B245" s="33"/>
      <c r="C245" s="24"/>
      <c r="D245" s="34"/>
      <c r="E245" s="34"/>
      <c r="F245" s="29" t="str">
        <f t="shared" si="3"/>
        <v/>
      </c>
      <c r="G245" s="30"/>
    </row>
    <row r="246" spans="2:7" x14ac:dyDescent="0.3">
      <c r="B246" s="33"/>
      <c r="C246" s="24"/>
      <c r="D246" s="34"/>
      <c r="E246" s="34"/>
      <c r="F246" s="31" t="str">
        <f t="shared" si="3"/>
        <v/>
      </c>
      <c r="G246" s="30"/>
    </row>
    <row r="247" spans="2:7" x14ac:dyDescent="0.3">
      <c r="B247" s="33"/>
      <c r="C247" s="24"/>
      <c r="D247" s="34"/>
      <c r="E247" s="34"/>
      <c r="F247" s="29" t="str">
        <f t="shared" si="3"/>
        <v/>
      </c>
      <c r="G247" s="30"/>
    </row>
    <row r="248" spans="2:7" x14ac:dyDescent="0.3">
      <c r="B248" s="33"/>
      <c r="C248" s="24"/>
      <c r="D248" s="34"/>
      <c r="E248" s="34"/>
      <c r="F248" s="31" t="str">
        <f t="shared" si="3"/>
        <v/>
      </c>
      <c r="G248" s="30"/>
    </row>
    <row r="249" spans="2:7" x14ac:dyDescent="0.3">
      <c r="B249" s="33"/>
      <c r="C249" s="24"/>
      <c r="D249" s="34"/>
      <c r="E249" s="34"/>
      <c r="F249" s="29" t="str">
        <f t="shared" si="3"/>
        <v/>
      </c>
      <c r="G249" s="30"/>
    </row>
    <row r="250" spans="2:7" x14ac:dyDescent="0.3">
      <c r="B250" s="33"/>
      <c r="C250" s="24"/>
      <c r="D250" s="34"/>
      <c r="E250" s="34"/>
      <c r="F250" s="31" t="str">
        <f t="shared" si="3"/>
        <v/>
      </c>
      <c r="G250" s="30"/>
    </row>
    <row r="251" spans="2:7" x14ac:dyDescent="0.3">
      <c r="B251" s="33"/>
      <c r="C251" s="24"/>
      <c r="D251" s="34"/>
      <c r="E251" s="34"/>
      <c r="F251" s="29" t="str">
        <f t="shared" si="3"/>
        <v/>
      </c>
      <c r="G251" s="30"/>
    </row>
    <row r="252" spans="2:7" x14ac:dyDescent="0.3">
      <c r="B252" s="33"/>
      <c r="C252" s="24"/>
      <c r="D252" s="34"/>
      <c r="E252" s="34"/>
      <c r="F252" s="31" t="str">
        <f t="shared" si="3"/>
        <v/>
      </c>
      <c r="G252" s="30"/>
    </row>
    <row r="253" spans="2:7" x14ac:dyDescent="0.3">
      <c r="B253" s="33"/>
      <c r="C253" s="24"/>
      <c r="D253" s="34"/>
      <c r="E253" s="34"/>
      <c r="F253" s="29" t="str">
        <f t="shared" si="3"/>
        <v/>
      </c>
      <c r="G253" s="30"/>
    </row>
    <row r="254" spans="2:7" x14ac:dyDescent="0.3">
      <c r="B254" s="33"/>
      <c r="C254" s="24"/>
      <c r="D254" s="34"/>
      <c r="E254" s="34"/>
      <c r="F254" s="31" t="str">
        <f t="shared" si="3"/>
        <v/>
      </c>
      <c r="G254" s="30"/>
    </row>
    <row r="255" spans="2:7" x14ac:dyDescent="0.3">
      <c r="B255" s="33"/>
      <c r="C255" s="24"/>
      <c r="D255" s="34"/>
      <c r="E255" s="34"/>
      <c r="F255" s="29" t="str">
        <f t="shared" si="3"/>
        <v/>
      </c>
      <c r="G255" s="30"/>
    </row>
    <row r="256" spans="2:7" x14ac:dyDescent="0.3">
      <c r="B256" s="33"/>
      <c r="C256" s="24"/>
      <c r="D256" s="34"/>
      <c r="E256" s="34"/>
      <c r="F256" s="31" t="str">
        <f t="shared" si="3"/>
        <v/>
      </c>
      <c r="G256" s="30"/>
    </row>
    <row r="257" spans="2:7" x14ac:dyDescent="0.3">
      <c r="B257" s="33"/>
      <c r="C257" s="24"/>
      <c r="D257" s="34"/>
      <c r="E257" s="34"/>
      <c r="F257" s="29" t="str">
        <f t="shared" si="3"/>
        <v/>
      </c>
      <c r="G257" s="30"/>
    </row>
    <row r="258" spans="2:7" x14ac:dyDescent="0.3">
      <c r="B258" s="33"/>
      <c r="C258" s="24"/>
      <c r="D258" s="34"/>
      <c r="E258" s="34"/>
      <c r="F258" s="31" t="str">
        <f t="shared" si="3"/>
        <v/>
      </c>
      <c r="G258" s="30"/>
    </row>
    <row r="259" spans="2:7" x14ac:dyDescent="0.3">
      <c r="B259" s="33"/>
      <c r="C259" s="24"/>
      <c r="D259" s="34"/>
      <c r="E259" s="34"/>
      <c r="F259" s="29" t="str">
        <f t="shared" si="3"/>
        <v/>
      </c>
      <c r="G259" s="30"/>
    </row>
    <row r="260" spans="2:7" x14ac:dyDescent="0.3">
      <c r="B260" s="33"/>
      <c r="C260" s="24"/>
      <c r="D260" s="34"/>
      <c r="E260" s="34"/>
      <c r="F260" s="31" t="str">
        <f t="shared" si="3"/>
        <v/>
      </c>
      <c r="G260" s="30"/>
    </row>
    <row r="261" spans="2:7" x14ac:dyDescent="0.3">
      <c r="B261" s="33"/>
      <c r="C261" s="24"/>
      <c r="D261" s="34"/>
      <c r="E261" s="34"/>
      <c r="F261" s="29" t="str">
        <f t="shared" ref="F261:F324" si="4">IF(OR(D261="",E261=""),"",D261*E261)</f>
        <v/>
      </c>
      <c r="G261" s="30"/>
    </row>
    <row r="262" spans="2:7" x14ac:dyDescent="0.3">
      <c r="B262" s="33"/>
      <c r="C262" s="24"/>
      <c r="D262" s="34"/>
      <c r="E262" s="34"/>
      <c r="F262" s="31" t="str">
        <f t="shared" si="4"/>
        <v/>
      </c>
      <c r="G262" s="30"/>
    </row>
    <row r="263" spans="2:7" x14ac:dyDescent="0.3">
      <c r="B263" s="33"/>
      <c r="C263" s="24"/>
      <c r="D263" s="34"/>
      <c r="E263" s="34"/>
      <c r="F263" s="29" t="str">
        <f t="shared" si="4"/>
        <v/>
      </c>
      <c r="G263" s="30"/>
    </row>
    <row r="264" spans="2:7" x14ac:dyDescent="0.3">
      <c r="B264" s="33"/>
      <c r="C264" s="24"/>
      <c r="D264" s="34"/>
      <c r="E264" s="34"/>
      <c r="F264" s="31" t="str">
        <f t="shared" si="4"/>
        <v/>
      </c>
      <c r="G264" s="30"/>
    </row>
    <row r="265" spans="2:7" x14ac:dyDescent="0.3">
      <c r="B265" s="33"/>
      <c r="C265" s="24"/>
      <c r="D265" s="34"/>
      <c r="E265" s="34"/>
      <c r="F265" s="29" t="str">
        <f t="shared" si="4"/>
        <v/>
      </c>
      <c r="G265" s="30"/>
    </row>
    <row r="266" spans="2:7" x14ac:dyDescent="0.3">
      <c r="B266" s="33"/>
      <c r="C266" s="24"/>
      <c r="D266" s="34"/>
      <c r="E266" s="34"/>
      <c r="F266" s="31" t="str">
        <f t="shared" si="4"/>
        <v/>
      </c>
      <c r="G266" s="30"/>
    </row>
    <row r="267" spans="2:7" x14ac:dyDescent="0.3">
      <c r="B267" s="33"/>
      <c r="C267" s="24"/>
      <c r="D267" s="34"/>
      <c r="E267" s="34"/>
      <c r="F267" s="29" t="str">
        <f t="shared" si="4"/>
        <v/>
      </c>
      <c r="G267" s="30"/>
    </row>
    <row r="268" spans="2:7" x14ac:dyDescent="0.3">
      <c r="B268" s="33"/>
      <c r="C268" s="24"/>
      <c r="D268" s="34"/>
      <c r="E268" s="34"/>
      <c r="F268" s="31" t="str">
        <f t="shared" si="4"/>
        <v/>
      </c>
      <c r="G268" s="30"/>
    </row>
    <row r="269" spans="2:7" x14ac:dyDescent="0.3">
      <c r="B269" s="33"/>
      <c r="C269" s="24"/>
      <c r="D269" s="34"/>
      <c r="E269" s="34"/>
      <c r="F269" s="29" t="str">
        <f t="shared" si="4"/>
        <v/>
      </c>
      <c r="G269" s="30"/>
    </row>
    <row r="270" spans="2:7" x14ac:dyDescent="0.3">
      <c r="B270" s="33"/>
      <c r="C270" s="24"/>
      <c r="D270" s="34"/>
      <c r="E270" s="34"/>
      <c r="F270" s="31" t="str">
        <f t="shared" si="4"/>
        <v/>
      </c>
      <c r="G270" s="30"/>
    </row>
    <row r="271" spans="2:7" x14ac:dyDescent="0.3">
      <c r="B271" s="33"/>
      <c r="C271" s="24"/>
      <c r="D271" s="34"/>
      <c r="E271" s="34"/>
      <c r="F271" s="29" t="str">
        <f t="shared" si="4"/>
        <v/>
      </c>
      <c r="G271" s="30"/>
    </row>
    <row r="272" spans="2:7" x14ac:dyDescent="0.3">
      <c r="B272" s="33"/>
      <c r="C272" s="24"/>
      <c r="D272" s="34"/>
      <c r="E272" s="34"/>
      <c r="F272" s="31" t="str">
        <f t="shared" si="4"/>
        <v/>
      </c>
      <c r="G272" s="30"/>
    </row>
    <row r="273" spans="2:7" x14ac:dyDescent="0.3">
      <c r="B273" s="33"/>
      <c r="C273" s="24"/>
      <c r="D273" s="34"/>
      <c r="E273" s="34"/>
      <c r="F273" s="29" t="str">
        <f t="shared" si="4"/>
        <v/>
      </c>
      <c r="G273" s="30"/>
    </row>
    <row r="274" spans="2:7" x14ac:dyDescent="0.3">
      <c r="B274" s="33"/>
      <c r="C274" s="24"/>
      <c r="D274" s="34"/>
      <c r="E274" s="34"/>
      <c r="F274" s="31" t="str">
        <f t="shared" si="4"/>
        <v/>
      </c>
      <c r="G274" s="30"/>
    </row>
    <row r="275" spans="2:7" x14ac:dyDescent="0.3">
      <c r="B275" s="33"/>
      <c r="C275" s="24"/>
      <c r="D275" s="34"/>
      <c r="E275" s="34"/>
      <c r="F275" s="29" t="str">
        <f t="shared" si="4"/>
        <v/>
      </c>
      <c r="G275" s="30"/>
    </row>
    <row r="276" spans="2:7" x14ac:dyDescent="0.3">
      <c r="B276" s="33"/>
      <c r="C276" s="24"/>
      <c r="D276" s="34"/>
      <c r="E276" s="34"/>
      <c r="F276" s="31" t="str">
        <f t="shared" si="4"/>
        <v/>
      </c>
      <c r="G276" s="30"/>
    </row>
    <row r="277" spans="2:7" x14ac:dyDescent="0.3">
      <c r="B277" s="33"/>
      <c r="C277" s="24"/>
      <c r="D277" s="34"/>
      <c r="E277" s="34"/>
      <c r="F277" s="29" t="str">
        <f t="shared" si="4"/>
        <v/>
      </c>
      <c r="G277" s="30"/>
    </row>
    <row r="278" spans="2:7" x14ac:dyDescent="0.3">
      <c r="B278" s="33"/>
      <c r="C278" s="24"/>
      <c r="D278" s="34"/>
      <c r="E278" s="34"/>
      <c r="F278" s="31" t="str">
        <f t="shared" si="4"/>
        <v/>
      </c>
      <c r="G278" s="30"/>
    </row>
    <row r="279" spans="2:7" x14ac:dyDescent="0.3">
      <c r="B279" s="33"/>
      <c r="C279" s="24"/>
      <c r="D279" s="34"/>
      <c r="E279" s="34"/>
      <c r="F279" s="29" t="str">
        <f t="shared" si="4"/>
        <v/>
      </c>
      <c r="G279" s="30"/>
    </row>
    <row r="280" spans="2:7" x14ac:dyDescent="0.3">
      <c r="B280" s="33"/>
      <c r="C280" s="24"/>
      <c r="D280" s="34"/>
      <c r="E280" s="34"/>
      <c r="F280" s="31" t="str">
        <f t="shared" si="4"/>
        <v/>
      </c>
      <c r="G280" s="30"/>
    </row>
    <row r="281" spans="2:7" x14ac:dyDescent="0.3">
      <c r="B281" s="33"/>
      <c r="C281" s="24"/>
      <c r="D281" s="34"/>
      <c r="E281" s="34"/>
      <c r="F281" s="29" t="str">
        <f t="shared" si="4"/>
        <v/>
      </c>
      <c r="G281" s="30"/>
    </row>
    <row r="282" spans="2:7" x14ac:dyDescent="0.3">
      <c r="B282" s="33"/>
      <c r="C282" s="24"/>
      <c r="D282" s="34"/>
      <c r="E282" s="34"/>
      <c r="F282" s="31" t="str">
        <f t="shared" si="4"/>
        <v/>
      </c>
      <c r="G282" s="30"/>
    </row>
    <row r="283" spans="2:7" x14ac:dyDescent="0.3">
      <c r="B283" s="33"/>
      <c r="C283" s="24"/>
      <c r="D283" s="34"/>
      <c r="E283" s="34"/>
      <c r="F283" s="29" t="str">
        <f t="shared" si="4"/>
        <v/>
      </c>
      <c r="G283" s="30"/>
    </row>
    <row r="284" spans="2:7" x14ac:dyDescent="0.3">
      <c r="B284" s="33"/>
      <c r="C284" s="24"/>
      <c r="D284" s="34"/>
      <c r="E284" s="34"/>
      <c r="F284" s="31" t="str">
        <f t="shared" si="4"/>
        <v/>
      </c>
      <c r="G284" s="30"/>
    </row>
    <row r="285" spans="2:7" x14ac:dyDescent="0.3">
      <c r="B285" s="33"/>
      <c r="C285" s="24"/>
      <c r="D285" s="34"/>
      <c r="E285" s="34"/>
      <c r="F285" s="29" t="str">
        <f t="shared" si="4"/>
        <v/>
      </c>
      <c r="G285" s="30"/>
    </row>
    <row r="286" spans="2:7" x14ac:dyDescent="0.3">
      <c r="B286" s="33"/>
      <c r="C286" s="24"/>
      <c r="D286" s="34"/>
      <c r="E286" s="34"/>
      <c r="F286" s="31" t="str">
        <f t="shared" si="4"/>
        <v/>
      </c>
      <c r="G286" s="30"/>
    </row>
    <row r="287" spans="2:7" x14ac:dyDescent="0.3">
      <c r="B287" s="33"/>
      <c r="C287" s="24"/>
      <c r="D287" s="34"/>
      <c r="E287" s="34"/>
      <c r="F287" s="29" t="str">
        <f t="shared" si="4"/>
        <v/>
      </c>
      <c r="G287" s="30"/>
    </row>
    <row r="288" spans="2:7" x14ac:dyDescent="0.3">
      <c r="B288" s="33"/>
      <c r="C288" s="24"/>
      <c r="D288" s="34"/>
      <c r="E288" s="34"/>
      <c r="F288" s="31" t="str">
        <f t="shared" si="4"/>
        <v/>
      </c>
      <c r="G288" s="30"/>
    </row>
    <row r="289" spans="2:7" x14ac:dyDescent="0.3">
      <c r="B289" s="33"/>
      <c r="C289" s="24"/>
      <c r="D289" s="34"/>
      <c r="E289" s="34"/>
      <c r="F289" s="29" t="str">
        <f t="shared" si="4"/>
        <v/>
      </c>
      <c r="G289" s="30"/>
    </row>
    <row r="290" spans="2:7" x14ac:dyDescent="0.3">
      <c r="B290" s="33"/>
      <c r="C290" s="24"/>
      <c r="D290" s="34"/>
      <c r="E290" s="34"/>
      <c r="F290" s="31" t="str">
        <f t="shared" si="4"/>
        <v/>
      </c>
      <c r="G290" s="30"/>
    </row>
    <row r="291" spans="2:7" x14ac:dyDescent="0.3">
      <c r="B291" s="33"/>
      <c r="C291" s="24"/>
      <c r="D291" s="34"/>
      <c r="E291" s="34"/>
      <c r="F291" s="29" t="str">
        <f t="shared" si="4"/>
        <v/>
      </c>
      <c r="G291" s="30"/>
    </row>
    <row r="292" spans="2:7" x14ac:dyDescent="0.3">
      <c r="B292" s="33"/>
      <c r="C292" s="24"/>
      <c r="D292" s="34"/>
      <c r="E292" s="34"/>
      <c r="F292" s="31" t="str">
        <f t="shared" si="4"/>
        <v/>
      </c>
      <c r="G292" s="30"/>
    </row>
    <row r="293" spans="2:7" x14ac:dyDescent="0.3">
      <c r="B293" s="33"/>
      <c r="C293" s="24"/>
      <c r="D293" s="34"/>
      <c r="E293" s="34"/>
      <c r="F293" s="29" t="str">
        <f t="shared" si="4"/>
        <v/>
      </c>
      <c r="G293" s="30"/>
    </row>
    <row r="294" spans="2:7" x14ac:dyDescent="0.3">
      <c r="B294" s="33"/>
      <c r="C294" s="24"/>
      <c r="D294" s="34"/>
      <c r="E294" s="34"/>
      <c r="F294" s="31" t="str">
        <f t="shared" si="4"/>
        <v/>
      </c>
      <c r="G294" s="30"/>
    </row>
    <row r="295" spans="2:7" x14ac:dyDescent="0.3">
      <c r="B295" s="33"/>
      <c r="C295" s="24"/>
      <c r="D295" s="34"/>
      <c r="E295" s="34"/>
      <c r="F295" s="29" t="str">
        <f t="shared" si="4"/>
        <v/>
      </c>
      <c r="G295" s="30"/>
    </row>
    <row r="296" spans="2:7" x14ac:dyDescent="0.3">
      <c r="B296" s="33"/>
      <c r="C296" s="24"/>
      <c r="D296" s="34"/>
      <c r="E296" s="34"/>
      <c r="F296" s="31" t="str">
        <f t="shared" si="4"/>
        <v/>
      </c>
      <c r="G296" s="30"/>
    </row>
    <row r="297" spans="2:7" x14ac:dyDescent="0.3">
      <c r="B297" s="33"/>
      <c r="C297" s="24"/>
      <c r="D297" s="34"/>
      <c r="E297" s="34"/>
      <c r="F297" s="29" t="str">
        <f t="shared" si="4"/>
        <v/>
      </c>
      <c r="G297" s="30"/>
    </row>
    <row r="298" spans="2:7" x14ac:dyDescent="0.3">
      <c r="B298" s="33"/>
      <c r="C298" s="24"/>
      <c r="D298" s="34"/>
      <c r="E298" s="34"/>
      <c r="F298" s="31" t="str">
        <f t="shared" si="4"/>
        <v/>
      </c>
      <c r="G298" s="30"/>
    </row>
    <row r="299" spans="2:7" x14ac:dyDescent="0.3">
      <c r="B299" s="33"/>
      <c r="C299" s="24"/>
      <c r="D299" s="34"/>
      <c r="E299" s="34"/>
      <c r="F299" s="29" t="str">
        <f t="shared" si="4"/>
        <v/>
      </c>
      <c r="G299" s="30"/>
    </row>
    <row r="300" spans="2:7" x14ac:dyDescent="0.3">
      <c r="B300" s="33"/>
      <c r="C300" s="24"/>
      <c r="D300" s="34"/>
      <c r="E300" s="34"/>
      <c r="F300" s="31" t="str">
        <f t="shared" si="4"/>
        <v/>
      </c>
      <c r="G300" s="30"/>
    </row>
    <row r="301" spans="2:7" x14ac:dyDescent="0.3">
      <c r="B301" s="33"/>
      <c r="C301" s="24"/>
      <c r="D301" s="34"/>
      <c r="E301" s="34"/>
      <c r="F301" s="29" t="str">
        <f t="shared" si="4"/>
        <v/>
      </c>
      <c r="G301" s="30"/>
    </row>
    <row r="302" spans="2:7" x14ac:dyDescent="0.3">
      <c r="B302" s="33"/>
      <c r="C302" s="24"/>
      <c r="D302" s="34"/>
      <c r="E302" s="34"/>
      <c r="F302" s="31" t="str">
        <f t="shared" si="4"/>
        <v/>
      </c>
      <c r="G302" s="30"/>
    </row>
    <row r="303" spans="2:7" x14ac:dyDescent="0.3">
      <c r="B303" s="33"/>
      <c r="C303" s="24"/>
      <c r="D303" s="34"/>
      <c r="E303" s="34"/>
      <c r="F303" s="29" t="str">
        <f t="shared" si="4"/>
        <v/>
      </c>
      <c r="G303" s="30"/>
    </row>
    <row r="304" spans="2:7" x14ac:dyDescent="0.3">
      <c r="B304" s="33"/>
      <c r="C304" s="24"/>
      <c r="D304" s="34"/>
      <c r="E304" s="34"/>
      <c r="F304" s="31" t="str">
        <f t="shared" si="4"/>
        <v/>
      </c>
      <c r="G304" s="30"/>
    </row>
  </sheetData>
  <mergeCells count="2">
    <mergeCell ref="B1:F1"/>
    <mergeCell ref="B2:F2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="اختر منتجاً من القائمة، أو أضفه أولاً في شيت المنتجات" xr:uid="{00000000-0002-0000-0300-000000000000}">
          <x14:formula1>
            <xm:f>المنتجات!$C$5:$C$34</xm:f>
          </x14:formula1>
          <x14:formula2>
            <xm:f>0</xm:f>
          </x14:formula2>
          <xm:sqref>C5:C304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304"/>
  <sheetViews>
    <sheetView showGridLines="0" rightToLeft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4" x14ac:dyDescent="0.3"/>
  <cols>
    <col min="1" max="1" width="3" customWidth="1"/>
    <col min="2" max="2" width="13" customWidth="1"/>
    <col min="3" max="3" width="22" customWidth="1"/>
    <col min="4" max="4" width="10" customWidth="1"/>
    <col min="5" max="5" width="15" customWidth="1"/>
    <col min="6" max="6" width="14" customWidth="1"/>
    <col min="7" max="7" width="16" customWidth="1"/>
    <col min="8" max="8" width="45" customWidth="1"/>
  </cols>
  <sheetData>
    <row r="1" spans="2:8" ht="21" x14ac:dyDescent="0.3">
      <c r="B1" s="9" t="s">
        <v>52</v>
      </c>
      <c r="C1" s="9"/>
      <c r="D1" s="9"/>
      <c r="E1" s="9"/>
      <c r="F1" s="9"/>
      <c r="G1" s="9"/>
    </row>
    <row r="2" spans="2:8" x14ac:dyDescent="0.3">
      <c r="B2" s="8" t="s">
        <v>53</v>
      </c>
      <c r="C2" s="8"/>
      <c r="D2" s="8"/>
      <c r="E2" s="8"/>
      <c r="F2" s="8"/>
      <c r="G2" s="8"/>
    </row>
    <row r="4" spans="2:8" x14ac:dyDescent="0.3">
      <c r="B4" s="35" t="s">
        <v>46</v>
      </c>
      <c r="C4" s="35" t="s">
        <v>31</v>
      </c>
      <c r="D4" s="35" t="s">
        <v>47</v>
      </c>
      <c r="E4" s="35" t="s">
        <v>54</v>
      </c>
      <c r="F4" s="35" t="s">
        <v>49</v>
      </c>
      <c r="G4" s="35" t="s">
        <v>55</v>
      </c>
      <c r="H4" s="35" t="s">
        <v>34</v>
      </c>
    </row>
    <row r="5" spans="2:8" ht="22.8" x14ac:dyDescent="0.3">
      <c r="B5" s="11">
        <v>46231</v>
      </c>
      <c r="C5" s="24" t="s">
        <v>35</v>
      </c>
      <c r="D5" s="28">
        <v>989</v>
      </c>
      <c r="E5" s="36">
        <v>447.57</v>
      </c>
      <c r="F5" s="29">
        <f t="shared" ref="F5:F68" si="0">IF(OR(D5="",E5=""),"",D5*E5)</f>
        <v>442646.73</v>
      </c>
      <c r="G5" s="24"/>
      <c r="H5" s="37" t="s">
        <v>56</v>
      </c>
    </row>
    <row r="6" spans="2:8" ht="22.8" x14ac:dyDescent="0.3">
      <c r="B6" s="11">
        <v>46231</v>
      </c>
      <c r="C6" s="24" t="s">
        <v>40</v>
      </c>
      <c r="D6" s="28">
        <v>743</v>
      </c>
      <c r="E6" s="36">
        <v>520</v>
      </c>
      <c r="F6" s="31">
        <f t="shared" si="0"/>
        <v>386360</v>
      </c>
      <c r="G6" s="24"/>
      <c r="H6" s="19" t="s">
        <v>56</v>
      </c>
    </row>
    <row r="7" spans="2:8" ht="22.8" x14ac:dyDescent="0.3">
      <c r="B7" s="11">
        <v>46231</v>
      </c>
      <c r="C7" s="24" t="s">
        <v>36</v>
      </c>
      <c r="D7" s="28">
        <v>890</v>
      </c>
      <c r="E7" s="36">
        <v>376.85</v>
      </c>
      <c r="F7" s="29">
        <f t="shared" si="0"/>
        <v>335396.5</v>
      </c>
      <c r="G7" s="24"/>
      <c r="H7" s="37" t="s">
        <v>56</v>
      </c>
    </row>
    <row r="8" spans="2:8" ht="22.8" x14ac:dyDescent="0.3">
      <c r="B8" s="11">
        <v>46231</v>
      </c>
      <c r="C8" s="24" t="s">
        <v>37</v>
      </c>
      <c r="D8" s="28">
        <v>599</v>
      </c>
      <c r="E8" s="36">
        <v>396.16</v>
      </c>
      <c r="F8" s="31">
        <f t="shared" si="0"/>
        <v>237299.84000000003</v>
      </c>
      <c r="G8" s="24"/>
      <c r="H8" s="19" t="s">
        <v>56</v>
      </c>
    </row>
    <row r="9" spans="2:8" ht="22.8" x14ac:dyDescent="0.3">
      <c r="B9" s="11">
        <v>46231</v>
      </c>
      <c r="C9" s="24" t="s">
        <v>41</v>
      </c>
      <c r="D9" s="28">
        <v>290</v>
      </c>
      <c r="E9" s="36">
        <v>760</v>
      </c>
      <c r="F9" s="29">
        <f t="shared" si="0"/>
        <v>220400</v>
      </c>
      <c r="G9" s="24"/>
      <c r="H9" s="37" t="s">
        <v>56</v>
      </c>
    </row>
    <row r="10" spans="2:8" ht="22.8" x14ac:dyDescent="0.3">
      <c r="B10" s="11">
        <v>46231</v>
      </c>
      <c r="C10" s="24" t="s">
        <v>38</v>
      </c>
      <c r="D10" s="28">
        <v>316</v>
      </c>
      <c r="E10" s="36">
        <v>598.04</v>
      </c>
      <c r="F10" s="31">
        <f t="shared" si="0"/>
        <v>188980.63999999998</v>
      </c>
      <c r="G10" s="24"/>
      <c r="H10" s="19" t="s">
        <v>56</v>
      </c>
    </row>
    <row r="11" spans="2:8" ht="22.8" x14ac:dyDescent="0.3">
      <c r="B11" s="11">
        <v>46231</v>
      </c>
      <c r="C11" s="24" t="s">
        <v>39</v>
      </c>
      <c r="D11" s="28">
        <v>292</v>
      </c>
      <c r="E11" s="36">
        <v>599.21</v>
      </c>
      <c r="F11" s="29">
        <f t="shared" si="0"/>
        <v>174969.32</v>
      </c>
      <c r="G11" s="24"/>
      <c r="H11" s="37" t="s">
        <v>56</v>
      </c>
    </row>
    <row r="12" spans="2:8" ht="22.8" x14ac:dyDescent="0.3">
      <c r="B12" s="11">
        <v>46231</v>
      </c>
      <c r="C12" s="24" t="s">
        <v>42</v>
      </c>
      <c r="D12" s="28">
        <v>191</v>
      </c>
      <c r="E12" s="36">
        <v>760</v>
      </c>
      <c r="F12" s="31">
        <f t="shared" si="0"/>
        <v>145160</v>
      </c>
      <c r="G12" s="24"/>
      <c r="H12" s="19" t="s">
        <v>56</v>
      </c>
    </row>
    <row r="13" spans="2:8" ht="22.8" x14ac:dyDescent="0.3">
      <c r="B13" s="11">
        <v>46236</v>
      </c>
      <c r="C13" s="24" t="s">
        <v>35</v>
      </c>
      <c r="D13" s="28">
        <v>213</v>
      </c>
      <c r="E13" s="36">
        <v>461.27</v>
      </c>
      <c r="F13" s="29">
        <f t="shared" si="0"/>
        <v>98250.51</v>
      </c>
      <c r="G13" s="24"/>
      <c r="H13" s="37" t="s">
        <v>56</v>
      </c>
    </row>
    <row r="14" spans="2:8" ht="22.8" x14ac:dyDescent="0.3">
      <c r="B14" s="11">
        <v>46236</v>
      </c>
      <c r="C14" s="24" t="s">
        <v>36</v>
      </c>
      <c r="D14" s="28">
        <v>67</v>
      </c>
      <c r="E14" s="36">
        <v>421.79</v>
      </c>
      <c r="F14" s="31">
        <f t="shared" si="0"/>
        <v>28259.93</v>
      </c>
      <c r="G14" s="24"/>
      <c r="H14" s="19" t="s">
        <v>56</v>
      </c>
    </row>
    <row r="15" spans="2:8" ht="22.8" x14ac:dyDescent="0.3">
      <c r="B15" s="11">
        <v>46236</v>
      </c>
      <c r="C15" s="24" t="s">
        <v>37</v>
      </c>
      <c r="D15" s="28">
        <v>54</v>
      </c>
      <c r="E15" s="36">
        <v>442.59</v>
      </c>
      <c r="F15" s="29">
        <f t="shared" si="0"/>
        <v>23899.859999999997</v>
      </c>
      <c r="G15" s="24"/>
      <c r="H15" s="37" t="s">
        <v>56</v>
      </c>
    </row>
    <row r="16" spans="2:8" ht="22.8" x14ac:dyDescent="0.3">
      <c r="B16" s="11">
        <v>46236</v>
      </c>
      <c r="C16" s="24" t="s">
        <v>39</v>
      </c>
      <c r="D16" s="28">
        <v>25</v>
      </c>
      <c r="E16" s="36">
        <v>609.20000000000005</v>
      </c>
      <c r="F16" s="31">
        <f t="shared" si="0"/>
        <v>15230.000000000002</v>
      </c>
      <c r="G16" s="24"/>
      <c r="H16" s="19" t="s">
        <v>56</v>
      </c>
    </row>
    <row r="17" spans="2:8" ht="22.8" x14ac:dyDescent="0.3">
      <c r="B17" s="11">
        <v>46236</v>
      </c>
      <c r="C17" s="24" t="s">
        <v>40</v>
      </c>
      <c r="D17" s="28">
        <v>290</v>
      </c>
      <c r="E17" s="36">
        <v>520</v>
      </c>
      <c r="F17" s="29">
        <f t="shared" si="0"/>
        <v>150800</v>
      </c>
      <c r="G17" s="24"/>
      <c r="H17" s="37" t="s">
        <v>56</v>
      </c>
    </row>
    <row r="18" spans="2:8" ht="22.8" x14ac:dyDescent="0.3">
      <c r="B18" s="11">
        <v>46236</v>
      </c>
      <c r="C18" s="24" t="s">
        <v>41</v>
      </c>
      <c r="D18" s="28">
        <v>31</v>
      </c>
      <c r="E18" s="36">
        <v>760</v>
      </c>
      <c r="F18" s="31">
        <f t="shared" si="0"/>
        <v>23560</v>
      </c>
      <c r="G18" s="24"/>
      <c r="H18" s="19" t="s">
        <v>56</v>
      </c>
    </row>
    <row r="19" spans="2:8" ht="22.8" x14ac:dyDescent="0.3">
      <c r="B19" s="11">
        <v>46236</v>
      </c>
      <c r="C19" s="24" t="s">
        <v>42</v>
      </c>
      <c r="D19" s="28">
        <v>124</v>
      </c>
      <c r="E19" s="36">
        <v>760</v>
      </c>
      <c r="F19" s="29">
        <f t="shared" si="0"/>
        <v>94240</v>
      </c>
      <c r="G19" s="24"/>
      <c r="H19" s="37" t="s">
        <v>56</v>
      </c>
    </row>
    <row r="20" spans="2:8" ht="22.8" x14ac:dyDescent="0.3">
      <c r="B20" s="11">
        <v>46236</v>
      </c>
      <c r="C20" s="24" t="s">
        <v>43</v>
      </c>
      <c r="D20" s="28">
        <v>35</v>
      </c>
      <c r="E20" s="36">
        <v>260</v>
      </c>
      <c r="F20" s="31">
        <f t="shared" si="0"/>
        <v>9100</v>
      </c>
      <c r="G20" s="24"/>
      <c r="H20" s="19" t="s">
        <v>56</v>
      </c>
    </row>
    <row r="21" spans="2:8" x14ac:dyDescent="0.3">
      <c r="B21" s="33"/>
      <c r="C21" s="24"/>
      <c r="D21" s="34"/>
      <c r="E21" s="38"/>
      <c r="F21" s="29" t="str">
        <f t="shared" si="0"/>
        <v/>
      </c>
      <c r="G21" s="24"/>
      <c r="H21" s="37"/>
    </row>
    <row r="22" spans="2:8" x14ac:dyDescent="0.3">
      <c r="B22" s="33"/>
      <c r="C22" s="24"/>
      <c r="D22" s="34"/>
      <c r="E22" s="38"/>
      <c r="F22" s="31" t="str">
        <f t="shared" si="0"/>
        <v/>
      </c>
      <c r="G22" s="24"/>
      <c r="H22" s="19"/>
    </row>
    <row r="23" spans="2:8" x14ac:dyDescent="0.3">
      <c r="B23" s="33"/>
      <c r="C23" s="24"/>
      <c r="D23" s="34"/>
      <c r="E23" s="38"/>
      <c r="F23" s="29" t="str">
        <f t="shared" si="0"/>
        <v/>
      </c>
      <c r="G23" s="24"/>
      <c r="H23" s="37"/>
    </row>
    <row r="24" spans="2:8" x14ac:dyDescent="0.3">
      <c r="B24" s="33"/>
      <c r="C24" s="24"/>
      <c r="D24" s="34"/>
      <c r="E24" s="38"/>
      <c r="F24" s="31" t="str">
        <f t="shared" si="0"/>
        <v/>
      </c>
      <c r="G24" s="24"/>
      <c r="H24" s="19"/>
    </row>
    <row r="25" spans="2:8" x14ac:dyDescent="0.3">
      <c r="B25" s="33"/>
      <c r="C25" s="24"/>
      <c r="D25" s="34"/>
      <c r="E25" s="38"/>
      <c r="F25" s="29" t="str">
        <f t="shared" si="0"/>
        <v/>
      </c>
      <c r="G25" s="24"/>
      <c r="H25" s="37"/>
    </row>
    <row r="26" spans="2:8" x14ac:dyDescent="0.3">
      <c r="B26" s="33"/>
      <c r="C26" s="24"/>
      <c r="D26" s="34"/>
      <c r="E26" s="38"/>
      <c r="F26" s="31" t="str">
        <f t="shared" si="0"/>
        <v/>
      </c>
      <c r="G26" s="24"/>
      <c r="H26" s="19"/>
    </row>
    <row r="27" spans="2:8" x14ac:dyDescent="0.3">
      <c r="B27" s="33"/>
      <c r="C27" s="24"/>
      <c r="D27" s="34"/>
      <c r="E27" s="38"/>
      <c r="F27" s="29" t="str">
        <f t="shared" si="0"/>
        <v/>
      </c>
      <c r="G27" s="24"/>
      <c r="H27" s="37"/>
    </row>
    <row r="28" spans="2:8" x14ac:dyDescent="0.3">
      <c r="B28" s="33"/>
      <c r="C28" s="24"/>
      <c r="D28" s="34"/>
      <c r="E28" s="38"/>
      <c r="F28" s="31" t="str">
        <f t="shared" si="0"/>
        <v/>
      </c>
      <c r="G28" s="24"/>
      <c r="H28" s="19"/>
    </row>
    <row r="29" spans="2:8" x14ac:dyDescent="0.3">
      <c r="B29" s="33"/>
      <c r="C29" s="24"/>
      <c r="D29" s="34"/>
      <c r="E29" s="38"/>
      <c r="F29" s="29" t="str">
        <f t="shared" si="0"/>
        <v/>
      </c>
      <c r="G29" s="24"/>
      <c r="H29" s="37"/>
    </row>
    <row r="30" spans="2:8" x14ac:dyDescent="0.3">
      <c r="B30" s="33"/>
      <c r="C30" s="24"/>
      <c r="D30" s="34"/>
      <c r="E30" s="38"/>
      <c r="F30" s="31" t="str">
        <f t="shared" si="0"/>
        <v/>
      </c>
      <c r="G30" s="24"/>
      <c r="H30" s="19"/>
    </row>
    <row r="31" spans="2:8" x14ac:dyDescent="0.3">
      <c r="B31" s="33"/>
      <c r="C31" s="24"/>
      <c r="D31" s="34"/>
      <c r="E31" s="38"/>
      <c r="F31" s="29" t="str">
        <f t="shared" si="0"/>
        <v/>
      </c>
      <c r="G31" s="24"/>
      <c r="H31" s="37"/>
    </row>
    <row r="32" spans="2:8" x14ac:dyDescent="0.3">
      <c r="B32" s="33"/>
      <c r="C32" s="24"/>
      <c r="D32" s="34"/>
      <c r="E32" s="38"/>
      <c r="F32" s="31" t="str">
        <f t="shared" si="0"/>
        <v/>
      </c>
      <c r="G32" s="24"/>
      <c r="H32" s="19"/>
    </row>
    <row r="33" spans="2:8" x14ac:dyDescent="0.3">
      <c r="B33" s="33"/>
      <c r="C33" s="24"/>
      <c r="D33" s="34"/>
      <c r="E33" s="38"/>
      <c r="F33" s="29" t="str">
        <f t="shared" si="0"/>
        <v/>
      </c>
      <c r="G33" s="24"/>
      <c r="H33" s="37"/>
    </row>
    <row r="34" spans="2:8" x14ac:dyDescent="0.3">
      <c r="B34" s="33"/>
      <c r="C34" s="24"/>
      <c r="D34" s="34"/>
      <c r="E34" s="38"/>
      <c r="F34" s="31" t="str">
        <f t="shared" si="0"/>
        <v/>
      </c>
      <c r="G34" s="24"/>
      <c r="H34" s="19"/>
    </row>
    <row r="35" spans="2:8" x14ac:dyDescent="0.3">
      <c r="B35" s="33"/>
      <c r="C35" s="24"/>
      <c r="D35" s="34"/>
      <c r="E35" s="38"/>
      <c r="F35" s="29" t="str">
        <f t="shared" si="0"/>
        <v/>
      </c>
      <c r="G35" s="24"/>
      <c r="H35" s="37"/>
    </row>
    <row r="36" spans="2:8" x14ac:dyDescent="0.3">
      <c r="B36" s="33"/>
      <c r="C36" s="24"/>
      <c r="D36" s="34"/>
      <c r="E36" s="38"/>
      <c r="F36" s="31" t="str">
        <f t="shared" si="0"/>
        <v/>
      </c>
      <c r="G36" s="24"/>
      <c r="H36" s="19"/>
    </row>
    <row r="37" spans="2:8" x14ac:dyDescent="0.3">
      <c r="B37" s="33"/>
      <c r="C37" s="24"/>
      <c r="D37" s="34"/>
      <c r="E37" s="38"/>
      <c r="F37" s="29" t="str">
        <f t="shared" si="0"/>
        <v/>
      </c>
      <c r="G37" s="24"/>
      <c r="H37" s="37"/>
    </row>
    <row r="38" spans="2:8" x14ac:dyDescent="0.3">
      <c r="B38" s="33"/>
      <c r="C38" s="24"/>
      <c r="D38" s="34"/>
      <c r="E38" s="38"/>
      <c r="F38" s="31" t="str">
        <f t="shared" si="0"/>
        <v/>
      </c>
      <c r="G38" s="24"/>
      <c r="H38" s="19"/>
    </row>
    <row r="39" spans="2:8" x14ac:dyDescent="0.3">
      <c r="B39" s="33"/>
      <c r="C39" s="24"/>
      <c r="D39" s="34"/>
      <c r="E39" s="38"/>
      <c r="F39" s="29" t="str">
        <f t="shared" si="0"/>
        <v/>
      </c>
      <c r="G39" s="24"/>
      <c r="H39" s="37"/>
    </row>
    <row r="40" spans="2:8" x14ac:dyDescent="0.3">
      <c r="B40" s="33"/>
      <c r="C40" s="24"/>
      <c r="D40" s="34"/>
      <c r="E40" s="38"/>
      <c r="F40" s="31" t="str">
        <f t="shared" si="0"/>
        <v/>
      </c>
      <c r="G40" s="24"/>
      <c r="H40" s="19"/>
    </row>
    <row r="41" spans="2:8" x14ac:dyDescent="0.3">
      <c r="B41" s="33"/>
      <c r="C41" s="24"/>
      <c r="D41" s="34"/>
      <c r="E41" s="38"/>
      <c r="F41" s="29" t="str">
        <f t="shared" si="0"/>
        <v/>
      </c>
      <c r="G41" s="24"/>
      <c r="H41" s="37"/>
    </row>
    <row r="42" spans="2:8" x14ac:dyDescent="0.3">
      <c r="B42" s="33"/>
      <c r="C42" s="24"/>
      <c r="D42" s="34"/>
      <c r="E42" s="38"/>
      <c r="F42" s="31" t="str">
        <f t="shared" si="0"/>
        <v/>
      </c>
      <c r="G42" s="24"/>
      <c r="H42" s="19"/>
    </row>
    <row r="43" spans="2:8" x14ac:dyDescent="0.3">
      <c r="B43" s="33"/>
      <c r="C43" s="24"/>
      <c r="D43" s="34"/>
      <c r="E43" s="38"/>
      <c r="F43" s="29" t="str">
        <f t="shared" si="0"/>
        <v/>
      </c>
      <c r="G43" s="24"/>
      <c r="H43" s="37"/>
    </row>
    <row r="44" spans="2:8" x14ac:dyDescent="0.3">
      <c r="B44" s="33"/>
      <c r="C44" s="24"/>
      <c r="D44" s="34"/>
      <c r="E44" s="38"/>
      <c r="F44" s="31" t="str">
        <f t="shared" si="0"/>
        <v/>
      </c>
      <c r="G44" s="24"/>
      <c r="H44" s="19"/>
    </row>
    <row r="45" spans="2:8" x14ac:dyDescent="0.3">
      <c r="B45" s="33"/>
      <c r="C45" s="24"/>
      <c r="D45" s="34"/>
      <c r="E45" s="38"/>
      <c r="F45" s="29" t="str">
        <f t="shared" si="0"/>
        <v/>
      </c>
      <c r="G45" s="24"/>
      <c r="H45" s="37"/>
    </row>
    <row r="46" spans="2:8" x14ac:dyDescent="0.3">
      <c r="B46" s="33"/>
      <c r="C46" s="24"/>
      <c r="D46" s="34"/>
      <c r="E46" s="38"/>
      <c r="F46" s="31" t="str">
        <f t="shared" si="0"/>
        <v/>
      </c>
      <c r="G46" s="24"/>
      <c r="H46" s="19"/>
    </row>
    <row r="47" spans="2:8" x14ac:dyDescent="0.3">
      <c r="B47" s="33"/>
      <c r="C47" s="24"/>
      <c r="D47" s="34"/>
      <c r="E47" s="38"/>
      <c r="F47" s="29" t="str">
        <f t="shared" si="0"/>
        <v/>
      </c>
      <c r="G47" s="24"/>
      <c r="H47" s="37"/>
    </row>
    <row r="48" spans="2:8" x14ac:dyDescent="0.3">
      <c r="B48" s="33"/>
      <c r="C48" s="24"/>
      <c r="D48" s="34"/>
      <c r="E48" s="38"/>
      <c r="F48" s="31" t="str">
        <f t="shared" si="0"/>
        <v/>
      </c>
      <c r="G48" s="24"/>
      <c r="H48" s="19"/>
    </row>
    <row r="49" spans="2:8" x14ac:dyDescent="0.3">
      <c r="B49" s="33"/>
      <c r="C49" s="24"/>
      <c r="D49" s="34"/>
      <c r="E49" s="38"/>
      <c r="F49" s="29" t="str">
        <f t="shared" si="0"/>
        <v/>
      </c>
      <c r="G49" s="24"/>
      <c r="H49" s="37"/>
    </row>
    <row r="50" spans="2:8" x14ac:dyDescent="0.3">
      <c r="B50" s="33"/>
      <c r="C50" s="24"/>
      <c r="D50" s="34"/>
      <c r="E50" s="38"/>
      <c r="F50" s="31" t="str">
        <f t="shared" si="0"/>
        <v/>
      </c>
      <c r="G50" s="24"/>
      <c r="H50" s="19"/>
    </row>
    <row r="51" spans="2:8" x14ac:dyDescent="0.3">
      <c r="B51" s="33"/>
      <c r="C51" s="24"/>
      <c r="D51" s="34"/>
      <c r="E51" s="38"/>
      <c r="F51" s="29" t="str">
        <f t="shared" si="0"/>
        <v/>
      </c>
      <c r="G51" s="24"/>
      <c r="H51" s="37"/>
    </row>
    <row r="52" spans="2:8" x14ac:dyDescent="0.3">
      <c r="B52" s="33"/>
      <c r="C52" s="24"/>
      <c r="D52" s="34"/>
      <c r="E52" s="38"/>
      <c r="F52" s="31" t="str">
        <f t="shared" si="0"/>
        <v/>
      </c>
      <c r="G52" s="24"/>
      <c r="H52" s="19"/>
    </row>
    <row r="53" spans="2:8" x14ac:dyDescent="0.3">
      <c r="B53" s="33"/>
      <c r="C53" s="24"/>
      <c r="D53" s="34"/>
      <c r="E53" s="38"/>
      <c r="F53" s="29" t="str">
        <f t="shared" si="0"/>
        <v/>
      </c>
      <c r="G53" s="24"/>
      <c r="H53" s="37"/>
    </row>
    <row r="54" spans="2:8" x14ac:dyDescent="0.3">
      <c r="B54" s="33"/>
      <c r="C54" s="24"/>
      <c r="D54" s="34"/>
      <c r="E54" s="38"/>
      <c r="F54" s="31" t="str">
        <f t="shared" si="0"/>
        <v/>
      </c>
      <c r="G54" s="24"/>
      <c r="H54" s="19"/>
    </row>
    <row r="55" spans="2:8" x14ac:dyDescent="0.3">
      <c r="B55" s="33"/>
      <c r="C55" s="24"/>
      <c r="D55" s="34"/>
      <c r="E55" s="38"/>
      <c r="F55" s="29" t="str">
        <f t="shared" si="0"/>
        <v/>
      </c>
      <c r="G55" s="24"/>
      <c r="H55" s="37"/>
    </row>
    <row r="56" spans="2:8" x14ac:dyDescent="0.3">
      <c r="B56" s="33"/>
      <c r="C56" s="24"/>
      <c r="D56" s="34"/>
      <c r="E56" s="38"/>
      <c r="F56" s="31" t="str">
        <f t="shared" si="0"/>
        <v/>
      </c>
      <c r="G56" s="24"/>
      <c r="H56" s="19"/>
    </row>
    <row r="57" spans="2:8" x14ac:dyDescent="0.3">
      <c r="B57" s="33"/>
      <c r="C57" s="24"/>
      <c r="D57" s="34"/>
      <c r="E57" s="38"/>
      <c r="F57" s="29" t="str">
        <f t="shared" si="0"/>
        <v/>
      </c>
      <c r="G57" s="24"/>
      <c r="H57" s="37"/>
    </row>
    <row r="58" spans="2:8" x14ac:dyDescent="0.3">
      <c r="B58" s="33"/>
      <c r="C58" s="24"/>
      <c r="D58" s="34"/>
      <c r="E58" s="38"/>
      <c r="F58" s="31" t="str">
        <f t="shared" si="0"/>
        <v/>
      </c>
      <c r="G58" s="24"/>
      <c r="H58" s="19"/>
    </row>
    <row r="59" spans="2:8" x14ac:dyDescent="0.3">
      <c r="B59" s="33"/>
      <c r="C59" s="24"/>
      <c r="D59" s="34"/>
      <c r="E59" s="38"/>
      <c r="F59" s="29" t="str">
        <f t="shared" si="0"/>
        <v/>
      </c>
      <c r="G59" s="24"/>
      <c r="H59" s="37"/>
    </row>
    <row r="60" spans="2:8" x14ac:dyDescent="0.3">
      <c r="B60" s="33"/>
      <c r="C60" s="24"/>
      <c r="D60" s="34"/>
      <c r="E60" s="38"/>
      <c r="F60" s="31" t="str">
        <f t="shared" si="0"/>
        <v/>
      </c>
      <c r="G60" s="24"/>
      <c r="H60" s="19"/>
    </row>
    <row r="61" spans="2:8" x14ac:dyDescent="0.3">
      <c r="B61" s="33"/>
      <c r="C61" s="24"/>
      <c r="D61" s="34"/>
      <c r="E61" s="38"/>
      <c r="F61" s="29" t="str">
        <f t="shared" si="0"/>
        <v/>
      </c>
      <c r="G61" s="24"/>
      <c r="H61" s="37"/>
    </row>
    <row r="62" spans="2:8" x14ac:dyDescent="0.3">
      <c r="B62" s="33"/>
      <c r="C62" s="24"/>
      <c r="D62" s="34"/>
      <c r="E62" s="38"/>
      <c r="F62" s="31" t="str">
        <f t="shared" si="0"/>
        <v/>
      </c>
      <c r="G62" s="24"/>
      <c r="H62" s="19"/>
    </row>
    <row r="63" spans="2:8" x14ac:dyDescent="0.3">
      <c r="B63" s="33"/>
      <c r="C63" s="24"/>
      <c r="D63" s="34"/>
      <c r="E63" s="38"/>
      <c r="F63" s="29" t="str">
        <f t="shared" si="0"/>
        <v/>
      </c>
      <c r="G63" s="24"/>
      <c r="H63" s="37"/>
    </row>
    <row r="64" spans="2:8" x14ac:dyDescent="0.3">
      <c r="B64" s="33"/>
      <c r="C64" s="24"/>
      <c r="D64" s="34"/>
      <c r="E64" s="38"/>
      <c r="F64" s="31" t="str">
        <f t="shared" si="0"/>
        <v/>
      </c>
      <c r="G64" s="24"/>
      <c r="H64" s="19"/>
    </row>
    <row r="65" spans="2:8" x14ac:dyDescent="0.3">
      <c r="B65" s="33"/>
      <c r="C65" s="24"/>
      <c r="D65" s="34"/>
      <c r="E65" s="38"/>
      <c r="F65" s="29" t="str">
        <f t="shared" si="0"/>
        <v/>
      </c>
      <c r="G65" s="24"/>
      <c r="H65" s="37"/>
    </row>
    <row r="66" spans="2:8" x14ac:dyDescent="0.3">
      <c r="B66" s="33"/>
      <c r="C66" s="24"/>
      <c r="D66" s="34"/>
      <c r="E66" s="38"/>
      <c r="F66" s="31" t="str">
        <f t="shared" si="0"/>
        <v/>
      </c>
      <c r="G66" s="24"/>
      <c r="H66" s="19"/>
    </row>
    <row r="67" spans="2:8" x14ac:dyDescent="0.3">
      <c r="B67" s="33"/>
      <c r="C67" s="24"/>
      <c r="D67" s="34"/>
      <c r="E67" s="38"/>
      <c r="F67" s="29" t="str">
        <f t="shared" si="0"/>
        <v/>
      </c>
      <c r="G67" s="24"/>
      <c r="H67" s="37"/>
    </row>
    <row r="68" spans="2:8" x14ac:dyDescent="0.3">
      <c r="B68" s="33"/>
      <c r="C68" s="24"/>
      <c r="D68" s="34"/>
      <c r="E68" s="38"/>
      <c r="F68" s="31" t="str">
        <f t="shared" si="0"/>
        <v/>
      </c>
      <c r="G68" s="24"/>
      <c r="H68" s="19"/>
    </row>
    <row r="69" spans="2:8" x14ac:dyDescent="0.3">
      <c r="B69" s="33"/>
      <c r="C69" s="24"/>
      <c r="D69" s="34"/>
      <c r="E69" s="38"/>
      <c r="F69" s="29" t="str">
        <f t="shared" ref="F69:F132" si="1">IF(OR(D69="",E69=""),"",D69*E69)</f>
        <v/>
      </c>
      <c r="G69" s="24"/>
      <c r="H69" s="37"/>
    </row>
    <row r="70" spans="2:8" x14ac:dyDescent="0.3">
      <c r="B70" s="33"/>
      <c r="C70" s="24"/>
      <c r="D70" s="34"/>
      <c r="E70" s="38"/>
      <c r="F70" s="31" t="str">
        <f t="shared" si="1"/>
        <v/>
      </c>
      <c r="G70" s="24"/>
      <c r="H70" s="19"/>
    </row>
    <row r="71" spans="2:8" x14ac:dyDescent="0.3">
      <c r="B71" s="33"/>
      <c r="C71" s="24"/>
      <c r="D71" s="34"/>
      <c r="E71" s="38"/>
      <c r="F71" s="29" t="str">
        <f t="shared" si="1"/>
        <v/>
      </c>
      <c r="G71" s="24"/>
      <c r="H71" s="37"/>
    </row>
    <row r="72" spans="2:8" x14ac:dyDescent="0.3">
      <c r="B72" s="33"/>
      <c r="C72" s="24"/>
      <c r="D72" s="34"/>
      <c r="E72" s="38"/>
      <c r="F72" s="31" t="str">
        <f t="shared" si="1"/>
        <v/>
      </c>
      <c r="G72" s="24"/>
      <c r="H72" s="19"/>
    </row>
    <row r="73" spans="2:8" x14ac:dyDescent="0.3">
      <c r="B73" s="33"/>
      <c r="C73" s="24"/>
      <c r="D73" s="34"/>
      <c r="E73" s="38"/>
      <c r="F73" s="29" t="str">
        <f t="shared" si="1"/>
        <v/>
      </c>
      <c r="G73" s="24"/>
      <c r="H73" s="37"/>
    </row>
    <row r="74" spans="2:8" x14ac:dyDescent="0.3">
      <c r="B74" s="33"/>
      <c r="C74" s="24"/>
      <c r="D74" s="34"/>
      <c r="E74" s="38"/>
      <c r="F74" s="31" t="str">
        <f t="shared" si="1"/>
        <v/>
      </c>
      <c r="G74" s="24"/>
      <c r="H74" s="19"/>
    </row>
    <row r="75" spans="2:8" x14ac:dyDescent="0.3">
      <c r="B75" s="33"/>
      <c r="C75" s="24"/>
      <c r="D75" s="34"/>
      <c r="E75" s="38"/>
      <c r="F75" s="29" t="str">
        <f t="shared" si="1"/>
        <v/>
      </c>
      <c r="G75" s="24"/>
      <c r="H75" s="37"/>
    </row>
    <row r="76" spans="2:8" x14ac:dyDescent="0.3">
      <c r="B76" s="33"/>
      <c r="C76" s="24"/>
      <c r="D76" s="34"/>
      <c r="E76" s="38"/>
      <c r="F76" s="31" t="str">
        <f t="shared" si="1"/>
        <v/>
      </c>
      <c r="G76" s="24"/>
      <c r="H76" s="19"/>
    </row>
    <row r="77" spans="2:8" x14ac:dyDescent="0.3">
      <c r="B77" s="33"/>
      <c r="C77" s="24"/>
      <c r="D77" s="34"/>
      <c r="E77" s="38"/>
      <c r="F77" s="29" t="str">
        <f t="shared" si="1"/>
        <v/>
      </c>
      <c r="G77" s="24"/>
      <c r="H77" s="37"/>
    </row>
    <row r="78" spans="2:8" x14ac:dyDescent="0.3">
      <c r="B78" s="33"/>
      <c r="C78" s="24"/>
      <c r="D78" s="34"/>
      <c r="E78" s="38"/>
      <c r="F78" s="31" t="str">
        <f t="shared" si="1"/>
        <v/>
      </c>
      <c r="G78" s="24"/>
      <c r="H78" s="19"/>
    </row>
    <row r="79" spans="2:8" x14ac:dyDescent="0.3">
      <c r="B79" s="33"/>
      <c r="C79" s="24"/>
      <c r="D79" s="34"/>
      <c r="E79" s="38"/>
      <c r="F79" s="29" t="str">
        <f t="shared" si="1"/>
        <v/>
      </c>
      <c r="G79" s="24"/>
      <c r="H79" s="37"/>
    </row>
    <row r="80" spans="2:8" x14ac:dyDescent="0.3">
      <c r="B80" s="33"/>
      <c r="C80" s="24"/>
      <c r="D80" s="34"/>
      <c r="E80" s="38"/>
      <c r="F80" s="31" t="str">
        <f t="shared" si="1"/>
        <v/>
      </c>
      <c r="G80" s="24"/>
      <c r="H80" s="19"/>
    </row>
    <row r="81" spans="2:8" x14ac:dyDescent="0.3">
      <c r="B81" s="33"/>
      <c r="C81" s="24"/>
      <c r="D81" s="34"/>
      <c r="E81" s="38"/>
      <c r="F81" s="29" t="str">
        <f t="shared" si="1"/>
        <v/>
      </c>
      <c r="G81" s="24"/>
      <c r="H81" s="37"/>
    </row>
    <row r="82" spans="2:8" x14ac:dyDescent="0.3">
      <c r="B82" s="33"/>
      <c r="C82" s="24"/>
      <c r="D82" s="34"/>
      <c r="E82" s="38"/>
      <c r="F82" s="31" t="str">
        <f t="shared" si="1"/>
        <v/>
      </c>
      <c r="G82" s="24"/>
      <c r="H82" s="19"/>
    </row>
    <row r="83" spans="2:8" x14ac:dyDescent="0.3">
      <c r="B83" s="33"/>
      <c r="C83" s="24"/>
      <c r="D83" s="34"/>
      <c r="E83" s="38"/>
      <c r="F83" s="29" t="str">
        <f t="shared" si="1"/>
        <v/>
      </c>
      <c r="G83" s="24"/>
      <c r="H83" s="37"/>
    </row>
    <row r="84" spans="2:8" x14ac:dyDescent="0.3">
      <c r="B84" s="33"/>
      <c r="C84" s="24"/>
      <c r="D84" s="34"/>
      <c r="E84" s="38"/>
      <c r="F84" s="31" t="str">
        <f t="shared" si="1"/>
        <v/>
      </c>
      <c r="G84" s="24"/>
      <c r="H84" s="19"/>
    </row>
    <row r="85" spans="2:8" x14ac:dyDescent="0.3">
      <c r="B85" s="33"/>
      <c r="C85" s="24"/>
      <c r="D85" s="34"/>
      <c r="E85" s="38"/>
      <c r="F85" s="29" t="str">
        <f t="shared" si="1"/>
        <v/>
      </c>
      <c r="G85" s="24"/>
      <c r="H85" s="37"/>
    </row>
    <row r="86" spans="2:8" x14ac:dyDescent="0.3">
      <c r="B86" s="33"/>
      <c r="C86" s="24"/>
      <c r="D86" s="34"/>
      <c r="E86" s="38"/>
      <c r="F86" s="31" t="str">
        <f t="shared" si="1"/>
        <v/>
      </c>
      <c r="G86" s="24"/>
      <c r="H86" s="19"/>
    </row>
    <row r="87" spans="2:8" x14ac:dyDescent="0.3">
      <c r="B87" s="33"/>
      <c r="C87" s="24"/>
      <c r="D87" s="34"/>
      <c r="E87" s="38"/>
      <c r="F87" s="29" t="str">
        <f t="shared" si="1"/>
        <v/>
      </c>
      <c r="G87" s="24"/>
      <c r="H87" s="37"/>
    </row>
    <row r="88" spans="2:8" x14ac:dyDescent="0.3">
      <c r="B88" s="33"/>
      <c r="C88" s="24"/>
      <c r="D88" s="34"/>
      <c r="E88" s="38"/>
      <c r="F88" s="31" t="str">
        <f t="shared" si="1"/>
        <v/>
      </c>
      <c r="G88" s="24"/>
      <c r="H88" s="19"/>
    </row>
    <row r="89" spans="2:8" x14ac:dyDescent="0.3">
      <c r="B89" s="33"/>
      <c r="C89" s="24"/>
      <c r="D89" s="34"/>
      <c r="E89" s="38"/>
      <c r="F89" s="29" t="str">
        <f t="shared" si="1"/>
        <v/>
      </c>
      <c r="G89" s="24"/>
      <c r="H89" s="37"/>
    </row>
    <row r="90" spans="2:8" x14ac:dyDescent="0.3">
      <c r="B90" s="33"/>
      <c r="C90" s="24"/>
      <c r="D90" s="34"/>
      <c r="E90" s="38"/>
      <c r="F90" s="31" t="str">
        <f t="shared" si="1"/>
        <v/>
      </c>
      <c r="G90" s="24"/>
      <c r="H90" s="19"/>
    </row>
    <row r="91" spans="2:8" x14ac:dyDescent="0.3">
      <c r="B91" s="33"/>
      <c r="C91" s="24"/>
      <c r="D91" s="34"/>
      <c r="E91" s="38"/>
      <c r="F91" s="29" t="str">
        <f t="shared" si="1"/>
        <v/>
      </c>
      <c r="G91" s="24"/>
      <c r="H91" s="37"/>
    </row>
    <row r="92" spans="2:8" x14ac:dyDescent="0.3">
      <c r="B92" s="33"/>
      <c r="C92" s="24"/>
      <c r="D92" s="34"/>
      <c r="E92" s="38"/>
      <c r="F92" s="31" t="str">
        <f t="shared" si="1"/>
        <v/>
      </c>
      <c r="G92" s="24"/>
      <c r="H92" s="19"/>
    </row>
    <row r="93" spans="2:8" x14ac:dyDescent="0.3">
      <c r="B93" s="33"/>
      <c r="C93" s="24"/>
      <c r="D93" s="34"/>
      <c r="E93" s="38"/>
      <c r="F93" s="29" t="str">
        <f t="shared" si="1"/>
        <v/>
      </c>
      <c r="G93" s="24"/>
      <c r="H93" s="37"/>
    </row>
    <row r="94" spans="2:8" x14ac:dyDescent="0.3">
      <c r="B94" s="33"/>
      <c r="C94" s="24"/>
      <c r="D94" s="34"/>
      <c r="E94" s="38"/>
      <c r="F94" s="31" t="str">
        <f t="shared" si="1"/>
        <v/>
      </c>
      <c r="G94" s="24"/>
      <c r="H94" s="19"/>
    </row>
    <row r="95" spans="2:8" x14ac:dyDescent="0.3">
      <c r="B95" s="33"/>
      <c r="C95" s="24"/>
      <c r="D95" s="34"/>
      <c r="E95" s="38"/>
      <c r="F95" s="29" t="str">
        <f t="shared" si="1"/>
        <v/>
      </c>
      <c r="G95" s="24"/>
      <c r="H95" s="37"/>
    </row>
    <row r="96" spans="2:8" x14ac:dyDescent="0.3">
      <c r="B96" s="33"/>
      <c r="C96" s="24"/>
      <c r="D96" s="34"/>
      <c r="E96" s="38"/>
      <c r="F96" s="31" t="str">
        <f t="shared" si="1"/>
        <v/>
      </c>
      <c r="G96" s="24"/>
      <c r="H96" s="19"/>
    </row>
    <row r="97" spans="2:8" x14ac:dyDescent="0.3">
      <c r="B97" s="33"/>
      <c r="C97" s="24"/>
      <c r="D97" s="34"/>
      <c r="E97" s="38"/>
      <c r="F97" s="29" t="str">
        <f t="shared" si="1"/>
        <v/>
      </c>
      <c r="G97" s="24"/>
      <c r="H97" s="37"/>
    </row>
    <row r="98" spans="2:8" x14ac:dyDescent="0.3">
      <c r="B98" s="33"/>
      <c r="C98" s="24"/>
      <c r="D98" s="34"/>
      <c r="E98" s="38"/>
      <c r="F98" s="31" t="str">
        <f t="shared" si="1"/>
        <v/>
      </c>
      <c r="G98" s="24"/>
      <c r="H98" s="19"/>
    </row>
    <row r="99" spans="2:8" x14ac:dyDescent="0.3">
      <c r="B99" s="33"/>
      <c r="C99" s="24"/>
      <c r="D99" s="34"/>
      <c r="E99" s="38"/>
      <c r="F99" s="29" t="str">
        <f t="shared" si="1"/>
        <v/>
      </c>
      <c r="G99" s="24"/>
      <c r="H99" s="37"/>
    </row>
    <row r="100" spans="2:8" x14ac:dyDescent="0.3">
      <c r="B100" s="33"/>
      <c r="C100" s="24"/>
      <c r="D100" s="34"/>
      <c r="E100" s="38"/>
      <c r="F100" s="31" t="str">
        <f t="shared" si="1"/>
        <v/>
      </c>
      <c r="G100" s="24"/>
      <c r="H100" s="19"/>
    </row>
    <row r="101" spans="2:8" x14ac:dyDescent="0.3">
      <c r="B101" s="33"/>
      <c r="C101" s="24"/>
      <c r="D101" s="34"/>
      <c r="E101" s="38"/>
      <c r="F101" s="29" t="str">
        <f t="shared" si="1"/>
        <v/>
      </c>
      <c r="G101" s="24"/>
      <c r="H101" s="37"/>
    </row>
    <row r="102" spans="2:8" x14ac:dyDescent="0.3">
      <c r="B102" s="33"/>
      <c r="C102" s="24"/>
      <c r="D102" s="34"/>
      <c r="E102" s="38"/>
      <c r="F102" s="31" t="str">
        <f t="shared" si="1"/>
        <v/>
      </c>
      <c r="G102" s="24"/>
      <c r="H102" s="19"/>
    </row>
    <row r="103" spans="2:8" x14ac:dyDescent="0.3">
      <c r="B103" s="33"/>
      <c r="C103" s="24"/>
      <c r="D103" s="34"/>
      <c r="E103" s="38"/>
      <c r="F103" s="29" t="str">
        <f t="shared" si="1"/>
        <v/>
      </c>
      <c r="G103" s="24"/>
      <c r="H103" s="37"/>
    </row>
    <row r="104" spans="2:8" x14ac:dyDescent="0.3">
      <c r="B104" s="33"/>
      <c r="C104" s="24"/>
      <c r="D104" s="34"/>
      <c r="E104" s="38"/>
      <c r="F104" s="31" t="str">
        <f t="shared" si="1"/>
        <v/>
      </c>
      <c r="G104" s="24"/>
      <c r="H104" s="19"/>
    </row>
    <row r="105" spans="2:8" x14ac:dyDescent="0.3">
      <c r="B105" s="33"/>
      <c r="C105" s="24"/>
      <c r="D105" s="34"/>
      <c r="E105" s="38"/>
      <c r="F105" s="29" t="str">
        <f t="shared" si="1"/>
        <v/>
      </c>
      <c r="G105" s="24"/>
      <c r="H105" s="37"/>
    </row>
    <row r="106" spans="2:8" x14ac:dyDescent="0.3">
      <c r="B106" s="33"/>
      <c r="C106" s="24"/>
      <c r="D106" s="34"/>
      <c r="E106" s="38"/>
      <c r="F106" s="31" t="str">
        <f t="shared" si="1"/>
        <v/>
      </c>
      <c r="G106" s="24"/>
      <c r="H106" s="19"/>
    </row>
    <row r="107" spans="2:8" x14ac:dyDescent="0.3">
      <c r="B107" s="33"/>
      <c r="C107" s="24"/>
      <c r="D107" s="34"/>
      <c r="E107" s="38"/>
      <c r="F107" s="29" t="str">
        <f t="shared" si="1"/>
        <v/>
      </c>
      <c r="G107" s="24"/>
      <c r="H107" s="37"/>
    </row>
    <row r="108" spans="2:8" x14ac:dyDescent="0.3">
      <c r="B108" s="33"/>
      <c r="C108" s="24"/>
      <c r="D108" s="34"/>
      <c r="E108" s="38"/>
      <c r="F108" s="31" t="str">
        <f t="shared" si="1"/>
        <v/>
      </c>
      <c r="G108" s="24"/>
      <c r="H108" s="19"/>
    </row>
    <row r="109" spans="2:8" x14ac:dyDescent="0.3">
      <c r="B109" s="33"/>
      <c r="C109" s="24"/>
      <c r="D109" s="34"/>
      <c r="E109" s="38"/>
      <c r="F109" s="29" t="str">
        <f t="shared" si="1"/>
        <v/>
      </c>
      <c r="G109" s="24"/>
      <c r="H109" s="37"/>
    </row>
    <row r="110" spans="2:8" x14ac:dyDescent="0.3">
      <c r="B110" s="33"/>
      <c r="C110" s="24"/>
      <c r="D110" s="34"/>
      <c r="E110" s="38"/>
      <c r="F110" s="31" t="str">
        <f t="shared" si="1"/>
        <v/>
      </c>
      <c r="G110" s="24"/>
      <c r="H110" s="19"/>
    </row>
    <row r="111" spans="2:8" x14ac:dyDescent="0.3">
      <c r="B111" s="33"/>
      <c r="C111" s="24"/>
      <c r="D111" s="34"/>
      <c r="E111" s="38"/>
      <c r="F111" s="29" t="str">
        <f t="shared" si="1"/>
        <v/>
      </c>
      <c r="G111" s="24"/>
      <c r="H111" s="37"/>
    </row>
    <row r="112" spans="2:8" x14ac:dyDescent="0.3">
      <c r="B112" s="33"/>
      <c r="C112" s="24"/>
      <c r="D112" s="34"/>
      <c r="E112" s="38"/>
      <c r="F112" s="31" t="str">
        <f t="shared" si="1"/>
        <v/>
      </c>
      <c r="G112" s="24"/>
      <c r="H112" s="19"/>
    </row>
    <row r="113" spans="2:8" x14ac:dyDescent="0.3">
      <c r="B113" s="33"/>
      <c r="C113" s="24"/>
      <c r="D113" s="34"/>
      <c r="E113" s="38"/>
      <c r="F113" s="29" t="str">
        <f t="shared" si="1"/>
        <v/>
      </c>
      <c r="G113" s="24"/>
      <c r="H113" s="37"/>
    </row>
    <row r="114" spans="2:8" x14ac:dyDescent="0.3">
      <c r="B114" s="33"/>
      <c r="C114" s="24"/>
      <c r="D114" s="34"/>
      <c r="E114" s="38"/>
      <c r="F114" s="31" t="str">
        <f t="shared" si="1"/>
        <v/>
      </c>
      <c r="G114" s="24"/>
      <c r="H114" s="19"/>
    </row>
    <row r="115" spans="2:8" x14ac:dyDescent="0.3">
      <c r="B115" s="33"/>
      <c r="C115" s="24"/>
      <c r="D115" s="34"/>
      <c r="E115" s="38"/>
      <c r="F115" s="29" t="str">
        <f t="shared" si="1"/>
        <v/>
      </c>
      <c r="G115" s="24"/>
      <c r="H115" s="37"/>
    </row>
    <row r="116" spans="2:8" x14ac:dyDescent="0.3">
      <c r="B116" s="33"/>
      <c r="C116" s="24"/>
      <c r="D116" s="34"/>
      <c r="E116" s="38"/>
      <c r="F116" s="31" t="str">
        <f t="shared" si="1"/>
        <v/>
      </c>
      <c r="G116" s="24"/>
      <c r="H116" s="19"/>
    </row>
    <row r="117" spans="2:8" x14ac:dyDescent="0.3">
      <c r="B117" s="33"/>
      <c r="C117" s="24"/>
      <c r="D117" s="34"/>
      <c r="E117" s="38"/>
      <c r="F117" s="29" t="str">
        <f t="shared" si="1"/>
        <v/>
      </c>
      <c r="G117" s="24"/>
      <c r="H117" s="37"/>
    </row>
    <row r="118" spans="2:8" x14ac:dyDescent="0.3">
      <c r="B118" s="33"/>
      <c r="C118" s="24"/>
      <c r="D118" s="34"/>
      <c r="E118" s="38"/>
      <c r="F118" s="31" t="str">
        <f t="shared" si="1"/>
        <v/>
      </c>
      <c r="G118" s="24"/>
      <c r="H118" s="19"/>
    </row>
    <row r="119" spans="2:8" x14ac:dyDescent="0.3">
      <c r="B119" s="33"/>
      <c r="C119" s="24"/>
      <c r="D119" s="34"/>
      <c r="E119" s="38"/>
      <c r="F119" s="29" t="str">
        <f t="shared" si="1"/>
        <v/>
      </c>
      <c r="G119" s="24"/>
      <c r="H119" s="37"/>
    </row>
    <row r="120" spans="2:8" x14ac:dyDescent="0.3">
      <c r="B120" s="33"/>
      <c r="C120" s="24"/>
      <c r="D120" s="34"/>
      <c r="E120" s="38"/>
      <c r="F120" s="31" t="str">
        <f t="shared" si="1"/>
        <v/>
      </c>
      <c r="G120" s="24"/>
      <c r="H120" s="19"/>
    </row>
    <row r="121" spans="2:8" x14ac:dyDescent="0.3">
      <c r="B121" s="33"/>
      <c r="C121" s="24"/>
      <c r="D121" s="34"/>
      <c r="E121" s="38"/>
      <c r="F121" s="29" t="str">
        <f t="shared" si="1"/>
        <v/>
      </c>
      <c r="G121" s="24"/>
      <c r="H121" s="37"/>
    </row>
    <row r="122" spans="2:8" x14ac:dyDescent="0.3">
      <c r="B122" s="33"/>
      <c r="C122" s="24"/>
      <c r="D122" s="34"/>
      <c r="E122" s="38"/>
      <c r="F122" s="31" t="str">
        <f t="shared" si="1"/>
        <v/>
      </c>
      <c r="G122" s="24"/>
      <c r="H122" s="19"/>
    </row>
    <row r="123" spans="2:8" x14ac:dyDescent="0.3">
      <c r="B123" s="33"/>
      <c r="C123" s="24"/>
      <c r="D123" s="34"/>
      <c r="E123" s="38"/>
      <c r="F123" s="29" t="str">
        <f t="shared" si="1"/>
        <v/>
      </c>
      <c r="G123" s="24"/>
      <c r="H123" s="37"/>
    </row>
    <row r="124" spans="2:8" x14ac:dyDescent="0.3">
      <c r="B124" s="33"/>
      <c r="C124" s="24"/>
      <c r="D124" s="34"/>
      <c r="E124" s="38"/>
      <c r="F124" s="31" t="str">
        <f t="shared" si="1"/>
        <v/>
      </c>
      <c r="G124" s="24"/>
      <c r="H124" s="19"/>
    </row>
    <row r="125" spans="2:8" x14ac:dyDescent="0.3">
      <c r="B125" s="33"/>
      <c r="C125" s="24"/>
      <c r="D125" s="34"/>
      <c r="E125" s="38"/>
      <c r="F125" s="29" t="str">
        <f t="shared" si="1"/>
        <v/>
      </c>
      <c r="G125" s="24"/>
      <c r="H125" s="37"/>
    </row>
    <row r="126" spans="2:8" x14ac:dyDescent="0.3">
      <c r="B126" s="33"/>
      <c r="C126" s="24"/>
      <c r="D126" s="34"/>
      <c r="E126" s="38"/>
      <c r="F126" s="31" t="str">
        <f t="shared" si="1"/>
        <v/>
      </c>
      <c r="G126" s="24"/>
      <c r="H126" s="19"/>
    </row>
    <row r="127" spans="2:8" x14ac:dyDescent="0.3">
      <c r="B127" s="33"/>
      <c r="C127" s="24"/>
      <c r="D127" s="34"/>
      <c r="E127" s="38"/>
      <c r="F127" s="29" t="str">
        <f t="shared" si="1"/>
        <v/>
      </c>
      <c r="G127" s="24"/>
      <c r="H127" s="37"/>
    </row>
    <row r="128" spans="2:8" x14ac:dyDescent="0.3">
      <c r="B128" s="33"/>
      <c r="C128" s="24"/>
      <c r="D128" s="34"/>
      <c r="E128" s="38"/>
      <c r="F128" s="31" t="str">
        <f t="shared" si="1"/>
        <v/>
      </c>
      <c r="G128" s="24"/>
      <c r="H128" s="19"/>
    </row>
    <row r="129" spans="2:8" x14ac:dyDescent="0.3">
      <c r="B129" s="33"/>
      <c r="C129" s="24"/>
      <c r="D129" s="34"/>
      <c r="E129" s="38"/>
      <c r="F129" s="29" t="str">
        <f t="shared" si="1"/>
        <v/>
      </c>
      <c r="G129" s="24"/>
      <c r="H129" s="37"/>
    </row>
    <row r="130" spans="2:8" x14ac:dyDescent="0.3">
      <c r="B130" s="33"/>
      <c r="C130" s="24"/>
      <c r="D130" s="34"/>
      <c r="E130" s="38"/>
      <c r="F130" s="31" t="str">
        <f t="shared" si="1"/>
        <v/>
      </c>
      <c r="G130" s="24"/>
      <c r="H130" s="19"/>
    </row>
    <row r="131" spans="2:8" x14ac:dyDescent="0.3">
      <c r="B131" s="33"/>
      <c r="C131" s="24"/>
      <c r="D131" s="34"/>
      <c r="E131" s="38"/>
      <c r="F131" s="29" t="str">
        <f t="shared" si="1"/>
        <v/>
      </c>
      <c r="G131" s="24"/>
      <c r="H131" s="37"/>
    </row>
    <row r="132" spans="2:8" x14ac:dyDescent="0.3">
      <c r="B132" s="33"/>
      <c r="C132" s="24"/>
      <c r="D132" s="34"/>
      <c r="E132" s="38"/>
      <c r="F132" s="31" t="str">
        <f t="shared" si="1"/>
        <v/>
      </c>
      <c r="G132" s="24"/>
      <c r="H132" s="19"/>
    </row>
    <row r="133" spans="2:8" x14ac:dyDescent="0.3">
      <c r="B133" s="33"/>
      <c r="C133" s="24"/>
      <c r="D133" s="34"/>
      <c r="E133" s="38"/>
      <c r="F133" s="29" t="str">
        <f t="shared" ref="F133:F196" si="2">IF(OR(D133="",E133=""),"",D133*E133)</f>
        <v/>
      </c>
      <c r="G133" s="24"/>
      <c r="H133" s="37"/>
    </row>
    <row r="134" spans="2:8" x14ac:dyDescent="0.3">
      <c r="B134" s="33"/>
      <c r="C134" s="24"/>
      <c r="D134" s="34"/>
      <c r="E134" s="38"/>
      <c r="F134" s="31" t="str">
        <f t="shared" si="2"/>
        <v/>
      </c>
      <c r="G134" s="24"/>
      <c r="H134" s="19"/>
    </row>
    <row r="135" spans="2:8" x14ac:dyDescent="0.3">
      <c r="B135" s="33"/>
      <c r="C135" s="24"/>
      <c r="D135" s="34"/>
      <c r="E135" s="38"/>
      <c r="F135" s="29" t="str">
        <f t="shared" si="2"/>
        <v/>
      </c>
      <c r="G135" s="24"/>
      <c r="H135" s="37"/>
    </row>
    <row r="136" spans="2:8" x14ac:dyDescent="0.3">
      <c r="B136" s="33"/>
      <c r="C136" s="24"/>
      <c r="D136" s="34"/>
      <c r="E136" s="38"/>
      <c r="F136" s="31" t="str">
        <f t="shared" si="2"/>
        <v/>
      </c>
      <c r="G136" s="24"/>
      <c r="H136" s="19"/>
    </row>
    <row r="137" spans="2:8" x14ac:dyDescent="0.3">
      <c r="B137" s="33"/>
      <c r="C137" s="24"/>
      <c r="D137" s="34"/>
      <c r="E137" s="38"/>
      <c r="F137" s="29" t="str">
        <f t="shared" si="2"/>
        <v/>
      </c>
      <c r="G137" s="24"/>
      <c r="H137" s="37"/>
    </row>
    <row r="138" spans="2:8" x14ac:dyDescent="0.3">
      <c r="B138" s="33"/>
      <c r="C138" s="24"/>
      <c r="D138" s="34"/>
      <c r="E138" s="38"/>
      <c r="F138" s="31" t="str">
        <f t="shared" si="2"/>
        <v/>
      </c>
      <c r="G138" s="24"/>
      <c r="H138" s="19"/>
    </row>
    <row r="139" spans="2:8" x14ac:dyDescent="0.3">
      <c r="B139" s="33"/>
      <c r="C139" s="24"/>
      <c r="D139" s="34"/>
      <c r="E139" s="38"/>
      <c r="F139" s="29" t="str">
        <f t="shared" si="2"/>
        <v/>
      </c>
      <c r="G139" s="24"/>
      <c r="H139" s="37"/>
    </row>
    <row r="140" spans="2:8" x14ac:dyDescent="0.3">
      <c r="B140" s="33"/>
      <c r="C140" s="24"/>
      <c r="D140" s="34"/>
      <c r="E140" s="38"/>
      <c r="F140" s="31" t="str">
        <f t="shared" si="2"/>
        <v/>
      </c>
      <c r="G140" s="24"/>
      <c r="H140" s="19"/>
    </row>
    <row r="141" spans="2:8" x14ac:dyDescent="0.3">
      <c r="B141" s="33"/>
      <c r="C141" s="24"/>
      <c r="D141" s="34"/>
      <c r="E141" s="38"/>
      <c r="F141" s="29" t="str">
        <f t="shared" si="2"/>
        <v/>
      </c>
      <c r="G141" s="24"/>
      <c r="H141" s="37"/>
    </row>
    <row r="142" spans="2:8" x14ac:dyDescent="0.3">
      <c r="B142" s="33"/>
      <c r="C142" s="24"/>
      <c r="D142" s="34"/>
      <c r="E142" s="38"/>
      <c r="F142" s="31" t="str">
        <f t="shared" si="2"/>
        <v/>
      </c>
      <c r="G142" s="24"/>
      <c r="H142" s="19"/>
    </row>
    <row r="143" spans="2:8" x14ac:dyDescent="0.3">
      <c r="B143" s="33"/>
      <c r="C143" s="24"/>
      <c r="D143" s="34"/>
      <c r="E143" s="38"/>
      <c r="F143" s="29" t="str">
        <f t="shared" si="2"/>
        <v/>
      </c>
      <c r="G143" s="24"/>
      <c r="H143" s="37"/>
    </row>
    <row r="144" spans="2:8" x14ac:dyDescent="0.3">
      <c r="B144" s="33"/>
      <c r="C144" s="24"/>
      <c r="D144" s="34"/>
      <c r="E144" s="38"/>
      <c r="F144" s="31" t="str">
        <f t="shared" si="2"/>
        <v/>
      </c>
      <c r="G144" s="24"/>
      <c r="H144" s="19"/>
    </row>
    <row r="145" spans="2:8" x14ac:dyDescent="0.3">
      <c r="B145" s="33"/>
      <c r="C145" s="24"/>
      <c r="D145" s="34"/>
      <c r="E145" s="38"/>
      <c r="F145" s="29" t="str">
        <f t="shared" si="2"/>
        <v/>
      </c>
      <c r="G145" s="24"/>
      <c r="H145" s="37"/>
    </row>
    <row r="146" spans="2:8" x14ac:dyDescent="0.3">
      <c r="B146" s="33"/>
      <c r="C146" s="24"/>
      <c r="D146" s="34"/>
      <c r="E146" s="38"/>
      <c r="F146" s="31" t="str">
        <f t="shared" si="2"/>
        <v/>
      </c>
      <c r="G146" s="24"/>
      <c r="H146" s="19"/>
    </row>
    <row r="147" spans="2:8" x14ac:dyDescent="0.3">
      <c r="B147" s="33"/>
      <c r="C147" s="24"/>
      <c r="D147" s="34"/>
      <c r="E147" s="38"/>
      <c r="F147" s="29" t="str">
        <f t="shared" si="2"/>
        <v/>
      </c>
      <c r="G147" s="24"/>
      <c r="H147" s="37"/>
    </row>
    <row r="148" spans="2:8" x14ac:dyDescent="0.3">
      <c r="B148" s="33"/>
      <c r="C148" s="24"/>
      <c r="D148" s="34"/>
      <c r="E148" s="38"/>
      <c r="F148" s="31" t="str">
        <f t="shared" si="2"/>
        <v/>
      </c>
      <c r="G148" s="24"/>
      <c r="H148" s="19"/>
    </row>
    <row r="149" spans="2:8" x14ac:dyDescent="0.3">
      <c r="B149" s="33"/>
      <c r="C149" s="24"/>
      <c r="D149" s="34"/>
      <c r="E149" s="38"/>
      <c r="F149" s="29" t="str">
        <f t="shared" si="2"/>
        <v/>
      </c>
      <c r="G149" s="24"/>
      <c r="H149" s="37"/>
    </row>
    <row r="150" spans="2:8" x14ac:dyDescent="0.3">
      <c r="B150" s="33"/>
      <c r="C150" s="24"/>
      <c r="D150" s="34"/>
      <c r="E150" s="38"/>
      <c r="F150" s="31" t="str">
        <f t="shared" si="2"/>
        <v/>
      </c>
      <c r="G150" s="24"/>
      <c r="H150" s="19"/>
    </row>
    <row r="151" spans="2:8" x14ac:dyDescent="0.3">
      <c r="B151" s="33"/>
      <c r="C151" s="24"/>
      <c r="D151" s="34"/>
      <c r="E151" s="38"/>
      <c r="F151" s="29" t="str">
        <f t="shared" si="2"/>
        <v/>
      </c>
      <c r="G151" s="24"/>
      <c r="H151" s="37"/>
    </row>
    <row r="152" spans="2:8" x14ac:dyDescent="0.3">
      <c r="B152" s="33"/>
      <c r="C152" s="24"/>
      <c r="D152" s="34"/>
      <c r="E152" s="38"/>
      <c r="F152" s="31" t="str">
        <f t="shared" si="2"/>
        <v/>
      </c>
      <c r="G152" s="24"/>
      <c r="H152" s="19"/>
    </row>
    <row r="153" spans="2:8" x14ac:dyDescent="0.3">
      <c r="B153" s="33"/>
      <c r="C153" s="24"/>
      <c r="D153" s="34"/>
      <c r="E153" s="38"/>
      <c r="F153" s="29" t="str">
        <f t="shared" si="2"/>
        <v/>
      </c>
      <c r="G153" s="24"/>
      <c r="H153" s="37"/>
    </row>
    <row r="154" spans="2:8" x14ac:dyDescent="0.3">
      <c r="B154" s="33"/>
      <c r="C154" s="24"/>
      <c r="D154" s="34"/>
      <c r="E154" s="38"/>
      <c r="F154" s="31" t="str">
        <f t="shared" si="2"/>
        <v/>
      </c>
      <c r="G154" s="24"/>
      <c r="H154" s="19"/>
    </row>
    <row r="155" spans="2:8" x14ac:dyDescent="0.3">
      <c r="B155" s="33"/>
      <c r="C155" s="24"/>
      <c r="D155" s="34"/>
      <c r="E155" s="38"/>
      <c r="F155" s="29" t="str">
        <f t="shared" si="2"/>
        <v/>
      </c>
      <c r="G155" s="24"/>
      <c r="H155" s="37"/>
    </row>
    <row r="156" spans="2:8" x14ac:dyDescent="0.3">
      <c r="B156" s="33"/>
      <c r="C156" s="24"/>
      <c r="D156" s="34"/>
      <c r="E156" s="38"/>
      <c r="F156" s="31" t="str">
        <f t="shared" si="2"/>
        <v/>
      </c>
      <c r="G156" s="24"/>
      <c r="H156" s="19"/>
    </row>
    <row r="157" spans="2:8" x14ac:dyDescent="0.3">
      <c r="B157" s="33"/>
      <c r="C157" s="24"/>
      <c r="D157" s="34"/>
      <c r="E157" s="38"/>
      <c r="F157" s="29" t="str">
        <f t="shared" si="2"/>
        <v/>
      </c>
      <c r="G157" s="24"/>
      <c r="H157" s="37"/>
    </row>
    <row r="158" spans="2:8" x14ac:dyDescent="0.3">
      <c r="B158" s="33"/>
      <c r="C158" s="24"/>
      <c r="D158" s="34"/>
      <c r="E158" s="38"/>
      <c r="F158" s="31" t="str">
        <f t="shared" si="2"/>
        <v/>
      </c>
      <c r="G158" s="24"/>
      <c r="H158" s="19"/>
    </row>
    <row r="159" spans="2:8" x14ac:dyDescent="0.3">
      <c r="B159" s="33"/>
      <c r="C159" s="24"/>
      <c r="D159" s="34"/>
      <c r="E159" s="38"/>
      <c r="F159" s="29" t="str">
        <f t="shared" si="2"/>
        <v/>
      </c>
      <c r="G159" s="24"/>
      <c r="H159" s="37"/>
    </row>
    <row r="160" spans="2:8" x14ac:dyDescent="0.3">
      <c r="B160" s="33"/>
      <c r="C160" s="24"/>
      <c r="D160" s="34"/>
      <c r="E160" s="38"/>
      <c r="F160" s="31" t="str">
        <f t="shared" si="2"/>
        <v/>
      </c>
      <c r="G160" s="24"/>
      <c r="H160" s="19"/>
    </row>
    <row r="161" spans="2:8" x14ac:dyDescent="0.3">
      <c r="B161" s="33"/>
      <c r="C161" s="24"/>
      <c r="D161" s="34"/>
      <c r="E161" s="38"/>
      <c r="F161" s="29" t="str">
        <f t="shared" si="2"/>
        <v/>
      </c>
      <c r="G161" s="24"/>
      <c r="H161" s="37"/>
    </row>
    <row r="162" spans="2:8" x14ac:dyDescent="0.3">
      <c r="B162" s="33"/>
      <c r="C162" s="24"/>
      <c r="D162" s="34"/>
      <c r="E162" s="38"/>
      <c r="F162" s="31" t="str">
        <f t="shared" si="2"/>
        <v/>
      </c>
      <c r="G162" s="24"/>
      <c r="H162" s="19"/>
    </row>
    <row r="163" spans="2:8" x14ac:dyDescent="0.3">
      <c r="B163" s="33"/>
      <c r="C163" s="24"/>
      <c r="D163" s="34"/>
      <c r="E163" s="38"/>
      <c r="F163" s="29" t="str">
        <f t="shared" si="2"/>
        <v/>
      </c>
      <c r="G163" s="24"/>
      <c r="H163" s="37"/>
    </row>
    <row r="164" spans="2:8" x14ac:dyDescent="0.3">
      <c r="B164" s="33"/>
      <c r="C164" s="24"/>
      <c r="D164" s="34"/>
      <c r="E164" s="38"/>
      <c r="F164" s="31" t="str">
        <f t="shared" si="2"/>
        <v/>
      </c>
      <c r="G164" s="24"/>
      <c r="H164" s="19"/>
    </row>
    <row r="165" spans="2:8" x14ac:dyDescent="0.3">
      <c r="B165" s="33"/>
      <c r="C165" s="24"/>
      <c r="D165" s="34"/>
      <c r="E165" s="38"/>
      <c r="F165" s="29" t="str">
        <f t="shared" si="2"/>
        <v/>
      </c>
      <c r="G165" s="24"/>
      <c r="H165" s="37"/>
    </row>
    <row r="166" spans="2:8" x14ac:dyDescent="0.3">
      <c r="B166" s="33"/>
      <c r="C166" s="24"/>
      <c r="D166" s="34"/>
      <c r="E166" s="38"/>
      <c r="F166" s="31" t="str">
        <f t="shared" si="2"/>
        <v/>
      </c>
      <c r="G166" s="24"/>
      <c r="H166" s="19"/>
    </row>
    <row r="167" spans="2:8" x14ac:dyDescent="0.3">
      <c r="B167" s="33"/>
      <c r="C167" s="24"/>
      <c r="D167" s="34"/>
      <c r="E167" s="38"/>
      <c r="F167" s="29" t="str">
        <f t="shared" si="2"/>
        <v/>
      </c>
      <c r="G167" s="24"/>
      <c r="H167" s="37"/>
    </row>
    <row r="168" spans="2:8" x14ac:dyDescent="0.3">
      <c r="B168" s="33"/>
      <c r="C168" s="24"/>
      <c r="D168" s="34"/>
      <c r="E168" s="38"/>
      <c r="F168" s="31" t="str">
        <f t="shared" si="2"/>
        <v/>
      </c>
      <c r="G168" s="24"/>
      <c r="H168" s="19"/>
    </row>
    <row r="169" spans="2:8" x14ac:dyDescent="0.3">
      <c r="B169" s="33"/>
      <c r="C169" s="24"/>
      <c r="D169" s="34"/>
      <c r="E169" s="38"/>
      <c r="F169" s="29" t="str">
        <f t="shared" si="2"/>
        <v/>
      </c>
      <c r="G169" s="24"/>
      <c r="H169" s="37"/>
    </row>
    <row r="170" spans="2:8" x14ac:dyDescent="0.3">
      <c r="B170" s="33"/>
      <c r="C170" s="24"/>
      <c r="D170" s="34"/>
      <c r="E170" s="38"/>
      <c r="F170" s="31" t="str">
        <f t="shared" si="2"/>
        <v/>
      </c>
      <c r="G170" s="24"/>
      <c r="H170" s="19"/>
    </row>
    <row r="171" spans="2:8" x14ac:dyDescent="0.3">
      <c r="B171" s="33"/>
      <c r="C171" s="24"/>
      <c r="D171" s="34"/>
      <c r="E171" s="38"/>
      <c r="F171" s="29" t="str">
        <f t="shared" si="2"/>
        <v/>
      </c>
      <c r="G171" s="24"/>
      <c r="H171" s="37"/>
    </row>
    <row r="172" spans="2:8" x14ac:dyDescent="0.3">
      <c r="B172" s="33"/>
      <c r="C172" s="24"/>
      <c r="D172" s="34"/>
      <c r="E172" s="38"/>
      <c r="F172" s="31" t="str">
        <f t="shared" si="2"/>
        <v/>
      </c>
      <c r="G172" s="24"/>
      <c r="H172" s="19"/>
    </row>
    <row r="173" spans="2:8" x14ac:dyDescent="0.3">
      <c r="B173" s="33"/>
      <c r="C173" s="24"/>
      <c r="D173" s="34"/>
      <c r="E173" s="38"/>
      <c r="F173" s="29" t="str">
        <f t="shared" si="2"/>
        <v/>
      </c>
      <c r="G173" s="24"/>
      <c r="H173" s="37"/>
    </row>
    <row r="174" spans="2:8" x14ac:dyDescent="0.3">
      <c r="B174" s="33"/>
      <c r="C174" s="24"/>
      <c r="D174" s="34"/>
      <c r="E174" s="38"/>
      <c r="F174" s="31" t="str">
        <f t="shared" si="2"/>
        <v/>
      </c>
      <c r="G174" s="24"/>
      <c r="H174" s="19"/>
    </row>
    <row r="175" spans="2:8" x14ac:dyDescent="0.3">
      <c r="B175" s="33"/>
      <c r="C175" s="24"/>
      <c r="D175" s="34"/>
      <c r="E175" s="38"/>
      <c r="F175" s="29" t="str">
        <f t="shared" si="2"/>
        <v/>
      </c>
      <c r="G175" s="24"/>
      <c r="H175" s="37"/>
    </row>
    <row r="176" spans="2:8" x14ac:dyDescent="0.3">
      <c r="B176" s="33"/>
      <c r="C176" s="24"/>
      <c r="D176" s="34"/>
      <c r="E176" s="38"/>
      <c r="F176" s="31" t="str">
        <f t="shared" si="2"/>
        <v/>
      </c>
      <c r="G176" s="24"/>
      <c r="H176" s="19"/>
    </row>
    <row r="177" spans="2:8" x14ac:dyDescent="0.3">
      <c r="B177" s="33"/>
      <c r="C177" s="24"/>
      <c r="D177" s="34"/>
      <c r="E177" s="38"/>
      <c r="F177" s="29" t="str">
        <f t="shared" si="2"/>
        <v/>
      </c>
      <c r="G177" s="24"/>
      <c r="H177" s="37"/>
    </row>
    <row r="178" spans="2:8" x14ac:dyDescent="0.3">
      <c r="B178" s="33"/>
      <c r="C178" s="24"/>
      <c r="D178" s="34"/>
      <c r="E178" s="38"/>
      <c r="F178" s="31" t="str">
        <f t="shared" si="2"/>
        <v/>
      </c>
      <c r="G178" s="24"/>
      <c r="H178" s="19"/>
    </row>
    <row r="179" spans="2:8" x14ac:dyDescent="0.3">
      <c r="B179" s="33"/>
      <c r="C179" s="24"/>
      <c r="D179" s="34"/>
      <c r="E179" s="38"/>
      <c r="F179" s="29" t="str">
        <f t="shared" si="2"/>
        <v/>
      </c>
      <c r="G179" s="24"/>
      <c r="H179" s="37"/>
    </row>
    <row r="180" spans="2:8" x14ac:dyDescent="0.3">
      <c r="B180" s="33"/>
      <c r="C180" s="24"/>
      <c r="D180" s="34"/>
      <c r="E180" s="38"/>
      <c r="F180" s="31" t="str">
        <f t="shared" si="2"/>
        <v/>
      </c>
      <c r="G180" s="24"/>
      <c r="H180" s="19"/>
    </row>
    <row r="181" spans="2:8" x14ac:dyDescent="0.3">
      <c r="B181" s="33"/>
      <c r="C181" s="24"/>
      <c r="D181" s="34"/>
      <c r="E181" s="38"/>
      <c r="F181" s="29" t="str">
        <f t="shared" si="2"/>
        <v/>
      </c>
      <c r="G181" s="24"/>
      <c r="H181" s="37"/>
    </row>
    <row r="182" spans="2:8" x14ac:dyDescent="0.3">
      <c r="B182" s="33"/>
      <c r="C182" s="24"/>
      <c r="D182" s="34"/>
      <c r="E182" s="38"/>
      <c r="F182" s="31" t="str">
        <f t="shared" si="2"/>
        <v/>
      </c>
      <c r="G182" s="24"/>
      <c r="H182" s="19"/>
    </row>
    <row r="183" spans="2:8" x14ac:dyDescent="0.3">
      <c r="B183" s="33"/>
      <c r="C183" s="24"/>
      <c r="D183" s="34"/>
      <c r="E183" s="38"/>
      <c r="F183" s="29" t="str">
        <f t="shared" si="2"/>
        <v/>
      </c>
      <c r="G183" s="24"/>
      <c r="H183" s="37"/>
    </row>
    <row r="184" spans="2:8" x14ac:dyDescent="0.3">
      <c r="B184" s="33"/>
      <c r="C184" s="24"/>
      <c r="D184" s="34"/>
      <c r="E184" s="38"/>
      <c r="F184" s="31" t="str">
        <f t="shared" si="2"/>
        <v/>
      </c>
      <c r="G184" s="24"/>
      <c r="H184" s="19"/>
    </row>
    <row r="185" spans="2:8" x14ac:dyDescent="0.3">
      <c r="B185" s="33"/>
      <c r="C185" s="24"/>
      <c r="D185" s="34"/>
      <c r="E185" s="38"/>
      <c r="F185" s="29" t="str">
        <f t="shared" si="2"/>
        <v/>
      </c>
      <c r="G185" s="24"/>
      <c r="H185" s="37"/>
    </row>
    <row r="186" spans="2:8" x14ac:dyDescent="0.3">
      <c r="B186" s="33"/>
      <c r="C186" s="24"/>
      <c r="D186" s="34"/>
      <c r="E186" s="38"/>
      <c r="F186" s="31" t="str">
        <f t="shared" si="2"/>
        <v/>
      </c>
      <c r="G186" s="24"/>
      <c r="H186" s="19"/>
    </row>
    <row r="187" spans="2:8" x14ac:dyDescent="0.3">
      <c r="B187" s="33"/>
      <c r="C187" s="24"/>
      <c r="D187" s="34"/>
      <c r="E187" s="38"/>
      <c r="F187" s="29" t="str">
        <f t="shared" si="2"/>
        <v/>
      </c>
      <c r="G187" s="24"/>
      <c r="H187" s="37"/>
    </row>
    <row r="188" spans="2:8" x14ac:dyDescent="0.3">
      <c r="B188" s="33"/>
      <c r="C188" s="24"/>
      <c r="D188" s="34"/>
      <c r="E188" s="38"/>
      <c r="F188" s="31" t="str">
        <f t="shared" si="2"/>
        <v/>
      </c>
      <c r="G188" s="24"/>
      <c r="H188" s="19"/>
    </row>
    <row r="189" spans="2:8" x14ac:dyDescent="0.3">
      <c r="B189" s="33"/>
      <c r="C189" s="24"/>
      <c r="D189" s="34"/>
      <c r="E189" s="38"/>
      <c r="F189" s="29" t="str">
        <f t="shared" si="2"/>
        <v/>
      </c>
      <c r="G189" s="24"/>
      <c r="H189" s="37"/>
    </row>
    <row r="190" spans="2:8" x14ac:dyDescent="0.3">
      <c r="B190" s="33"/>
      <c r="C190" s="24"/>
      <c r="D190" s="34"/>
      <c r="E190" s="38"/>
      <c r="F190" s="31" t="str">
        <f t="shared" si="2"/>
        <v/>
      </c>
      <c r="G190" s="24"/>
      <c r="H190" s="19"/>
    </row>
    <row r="191" spans="2:8" x14ac:dyDescent="0.3">
      <c r="B191" s="33"/>
      <c r="C191" s="24"/>
      <c r="D191" s="34"/>
      <c r="E191" s="38"/>
      <c r="F191" s="29" t="str">
        <f t="shared" si="2"/>
        <v/>
      </c>
      <c r="G191" s="24"/>
      <c r="H191" s="37"/>
    </row>
    <row r="192" spans="2:8" x14ac:dyDescent="0.3">
      <c r="B192" s="33"/>
      <c r="C192" s="24"/>
      <c r="D192" s="34"/>
      <c r="E192" s="38"/>
      <c r="F192" s="31" t="str">
        <f t="shared" si="2"/>
        <v/>
      </c>
      <c r="G192" s="24"/>
      <c r="H192" s="19"/>
    </row>
    <row r="193" spans="2:8" x14ac:dyDescent="0.3">
      <c r="B193" s="33"/>
      <c r="C193" s="24"/>
      <c r="D193" s="34"/>
      <c r="E193" s="38"/>
      <c r="F193" s="29" t="str">
        <f t="shared" si="2"/>
        <v/>
      </c>
      <c r="G193" s="24"/>
      <c r="H193" s="37"/>
    </row>
    <row r="194" spans="2:8" x14ac:dyDescent="0.3">
      <c r="B194" s="33"/>
      <c r="C194" s="24"/>
      <c r="D194" s="34"/>
      <c r="E194" s="38"/>
      <c r="F194" s="31" t="str">
        <f t="shared" si="2"/>
        <v/>
      </c>
      <c r="G194" s="24"/>
      <c r="H194" s="19"/>
    </row>
    <row r="195" spans="2:8" x14ac:dyDescent="0.3">
      <c r="B195" s="33"/>
      <c r="C195" s="24"/>
      <c r="D195" s="34"/>
      <c r="E195" s="38"/>
      <c r="F195" s="29" t="str">
        <f t="shared" si="2"/>
        <v/>
      </c>
      <c r="G195" s="24"/>
      <c r="H195" s="37"/>
    </row>
    <row r="196" spans="2:8" x14ac:dyDescent="0.3">
      <c r="B196" s="33"/>
      <c r="C196" s="24"/>
      <c r="D196" s="34"/>
      <c r="E196" s="38"/>
      <c r="F196" s="31" t="str">
        <f t="shared" si="2"/>
        <v/>
      </c>
      <c r="G196" s="24"/>
      <c r="H196" s="19"/>
    </row>
    <row r="197" spans="2:8" x14ac:dyDescent="0.3">
      <c r="B197" s="33"/>
      <c r="C197" s="24"/>
      <c r="D197" s="34"/>
      <c r="E197" s="38"/>
      <c r="F197" s="29" t="str">
        <f t="shared" ref="F197:F260" si="3">IF(OR(D197="",E197=""),"",D197*E197)</f>
        <v/>
      </c>
      <c r="G197" s="24"/>
      <c r="H197" s="37"/>
    </row>
    <row r="198" spans="2:8" x14ac:dyDescent="0.3">
      <c r="B198" s="33"/>
      <c r="C198" s="24"/>
      <c r="D198" s="34"/>
      <c r="E198" s="38"/>
      <c r="F198" s="31" t="str">
        <f t="shared" si="3"/>
        <v/>
      </c>
      <c r="G198" s="24"/>
      <c r="H198" s="19"/>
    </row>
    <row r="199" spans="2:8" x14ac:dyDescent="0.3">
      <c r="B199" s="33"/>
      <c r="C199" s="24"/>
      <c r="D199" s="34"/>
      <c r="E199" s="38"/>
      <c r="F199" s="29" t="str">
        <f t="shared" si="3"/>
        <v/>
      </c>
      <c r="G199" s="24"/>
      <c r="H199" s="37"/>
    </row>
    <row r="200" spans="2:8" x14ac:dyDescent="0.3">
      <c r="B200" s="33"/>
      <c r="C200" s="24"/>
      <c r="D200" s="34"/>
      <c r="E200" s="38"/>
      <c r="F200" s="31" t="str">
        <f t="shared" si="3"/>
        <v/>
      </c>
      <c r="G200" s="24"/>
      <c r="H200" s="19"/>
    </row>
    <row r="201" spans="2:8" x14ac:dyDescent="0.3">
      <c r="B201" s="33"/>
      <c r="C201" s="24"/>
      <c r="D201" s="34"/>
      <c r="E201" s="38"/>
      <c r="F201" s="29" t="str">
        <f t="shared" si="3"/>
        <v/>
      </c>
      <c r="G201" s="24"/>
      <c r="H201" s="37"/>
    </row>
    <row r="202" spans="2:8" x14ac:dyDescent="0.3">
      <c r="B202" s="33"/>
      <c r="C202" s="24"/>
      <c r="D202" s="34"/>
      <c r="E202" s="38"/>
      <c r="F202" s="31" t="str">
        <f t="shared" si="3"/>
        <v/>
      </c>
      <c r="G202" s="24"/>
      <c r="H202" s="19"/>
    </row>
    <row r="203" spans="2:8" x14ac:dyDescent="0.3">
      <c r="B203" s="33"/>
      <c r="C203" s="24"/>
      <c r="D203" s="34"/>
      <c r="E203" s="38"/>
      <c r="F203" s="29" t="str">
        <f t="shared" si="3"/>
        <v/>
      </c>
      <c r="G203" s="24"/>
      <c r="H203" s="37"/>
    </row>
    <row r="204" spans="2:8" x14ac:dyDescent="0.3">
      <c r="B204" s="33"/>
      <c r="C204" s="24"/>
      <c r="D204" s="34"/>
      <c r="E204" s="38"/>
      <c r="F204" s="31" t="str">
        <f t="shared" si="3"/>
        <v/>
      </c>
      <c r="G204" s="24"/>
      <c r="H204" s="19"/>
    </row>
    <row r="205" spans="2:8" x14ac:dyDescent="0.3">
      <c r="B205" s="33"/>
      <c r="C205" s="24"/>
      <c r="D205" s="34"/>
      <c r="E205" s="38"/>
      <c r="F205" s="29" t="str">
        <f t="shared" si="3"/>
        <v/>
      </c>
      <c r="G205" s="24"/>
      <c r="H205" s="37"/>
    </row>
    <row r="206" spans="2:8" x14ac:dyDescent="0.3">
      <c r="B206" s="33"/>
      <c r="C206" s="24"/>
      <c r="D206" s="34"/>
      <c r="E206" s="38"/>
      <c r="F206" s="31" t="str">
        <f t="shared" si="3"/>
        <v/>
      </c>
      <c r="G206" s="24"/>
      <c r="H206" s="19"/>
    </row>
    <row r="207" spans="2:8" x14ac:dyDescent="0.3">
      <c r="B207" s="33"/>
      <c r="C207" s="24"/>
      <c r="D207" s="34"/>
      <c r="E207" s="38"/>
      <c r="F207" s="29" t="str">
        <f t="shared" si="3"/>
        <v/>
      </c>
      <c r="G207" s="24"/>
      <c r="H207" s="37"/>
    </row>
    <row r="208" spans="2:8" x14ac:dyDescent="0.3">
      <c r="B208" s="33"/>
      <c r="C208" s="24"/>
      <c r="D208" s="34"/>
      <c r="E208" s="38"/>
      <c r="F208" s="31" t="str">
        <f t="shared" si="3"/>
        <v/>
      </c>
      <c r="G208" s="24"/>
      <c r="H208" s="19"/>
    </row>
    <row r="209" spans="2:8" x14ac:dyDescent="0.3">
      <c r="B209" s="33"/>
      <c r="C209" s="24"/>
      <c r="D209" s="34"/>
      <c r="E209" s="38"/>
      <c r="F209" s="29" t="str">
        <f t="shared" si="3"/>
        <v/>
      </c>
      <c r="G209" s="24"/>
      <c r="H209" s="37"/>
    </row>
    <row r="210" spans="2:8" x14ac:dyDescent="0.3">
      <c r="B210" s="33"/>
      <c r="C210" s="24"/>
      <c r="D210" s="34"/>
      <c r="E210" s="38"/>
      <c r="F210" s="31" t="str">
        <f t="shared" si="3"/>
        <v/>
      </c>
      <c r="G210" s="24"/>
      <c r="H210" s="19"/>
    </row>
    <row r="211" spans="2:8" x14ac:dyDescent="0.3">
      <c r="B211" s="33"/>
      <c r="C211" s="24"/>
      <c r="D211" s="34"/>
      <c r="E211" s="38"/>
      <c r="F211" s="29" t="str">
        <f t="shared" si="3"/>
        <v/>
      </c>
      <c r="G211" s="24"/>
      <c r="H211" s="37"/>
    </row>
    <row r="212" spans="2:8" x14ac:dyDescent="0.3">
      <c r="B212" s="33"/>
      <c r="C212" s="24"/>
      <c r="D212" s="34"/>
      <c r="E212" s="38"/>
      <c r="F212" s="31" t="str">
        <f t="shared" si="3"/>
        <v/>
      </c>
      <c r="G212" s="24"/>
      <c r="H212" s="19"/>
    </row>
    <row r="213" spans="2:8" x14ac:dyDescent="0.3">
      <c r="B213" s="33"/>
      <c r="C213" s="24"/>
      <c r="D213" s="34"/>
      <c r="E213" s="38"/>
      <c r="F213" s="29" t="str">
        <f t="shared" si="3"/>
        <v/>
      </c>
      <c r="G213" s="24"/>
      <c r="H213" s="37"/>
    </row>
    <row r="214" spans="2:8" x14ac:dyDescent="0.3">
      <c r="B214" s="33"/>
      <c r="C214" s="24"/>
      <c r="D214" s="34"/>
      <c r="E214" s="38"/>
      <c r="F214" s="31" t="str">
        <f t="shared" si="3"/>
        <v/>
      </c>
      <c r="G214" s="24"/>
      <c r="H214" s="19"/>
    </row>
    <row r="215" spans="2:8" x14ac:dyDescent="0.3">
      <c r="B215" s="33"/>
      <c r="C215" s="24"/>
      <c r="D215" s="34"/>
      <c r="E215" s="38"/>
      <c r="F215" s="29" t="str">
        <f t="shared" si="3"/>
        <v/>
      </c>
      <c r="G215" s="24"/>
      <c r="H215" s="37"/>
    </row>
    <row r="216" spans="2:8" x14ac:dyDescent="0.3">
      <c r="B216" s="33"/>
      <c r="C216" s="24"/>
      <c r="D216" s="34"/>
      <c r="E216" s="38"/>
      <c r="F216" s="31" t="str">
        <f t="shared" si="3"/>
        <v/>
      </c>
      <c r="G216" s="24"/>
      <c r="H216" s="19"/>
    </row>
    <row r="217" spans="2:8" x14ac:dyDescent="0.3">
      <c r="B217" s="33"/>
      <c r="C217" s="24"/>
      <c r="D217" s="34"/>
      <c r="E217" s="38"/>
      <c r="F217" s="29" t="str">
        <f t="shared" si="3"/>
        <v/>
      </c>
      <c r="G217" s="24"/>
      <c r="H217" s="37"/>
    </row>
    <row r="218" spans="2:8" x14ac:dyDescent="0.3">
      <c r="B218" s="33"/>
      <c r="C218" s="24"/>
      <c r="D218" s="34"/>
      <c r="E218" s="38"/>
      <c r="F218" s="31" t="str">
        <f t="shared" si="3"/>
        <v/>
      </c>
      <c r="G218" s="24"/>
      <c r="H218" s="19"/>
    </row>
    <row r="219" spans="2:8" x14ac:dyDescent="0.3">
      <c r="B219" s="33"/>
      <c r="C219" s="24"/>
      <c r="D219" s="34"/>
      <c r="E219" s="38"/>
      <c r="F219" s="29" t="str">
        <f t="shared" si="3"/>
        <v/>
      </c>
      <c r="G219" s="24"/>
      <c r="H219" s="37"/>
    </row>
    <row r="220" spans="2:8" x14ac:dyDescent="0.3">
      <c r="B220" s="33"/>
      <c r="C220" s="24"/>
      <c r="D220" s="34"/>
      <c r="E220" s="38"/>
      <c r="F220" s="31" t="str">
        <f t="shared" si="3"/>
        <v/>
      </c>
      <c r="G220" s="24"/>
      <c r="H220" s="19"/>
    </row>
    <row r="221" spans="2:8" x14ac:dyDescent="0.3">
      <c r="B221" s="33"/>
      <c r="C221" s="24"/>
      <c r="D221" s="34"/>
      <c r="E221" s="38"/>
      <c r="F221" s="29" t="str">
        <f t="shared" si="3"/>
        <v/>
      </c>
      <c r="G221" s="24"/>
      <c r="H221" s="37"/>
    </row>
    <row r="222" spans="2:8" x14ac:dyDescent="0.3">
      <c r="B222" s="33"/>
      <c r="C222" s="24"/>
      <c r="D222" s="34"/>
      <c r="E222" s="38"/>
      <c r="F222" s="31" t="str">
        <f t="shared" si="3"/>
        <v/>
      </c>
      <c r="G222" s="24"/>
      <c r="H222" s="19"/>
    </row>
    <row r="223" spans="2:8" x14ac:dyDescent="0.3">
      <c r="B223" s="33"/>
      <c r="C223" s="24"/>
      <c r="D223" s="34"/>
      <c r="E223" s="38"/>
      <c r="F223" s="29" t="str">
        <f t="shared" si="3"/>
        <v/>
      </c>
      <c r="G223" s="24"/>
      <c r="H223" s="37"/>
    </row>
    <row r="224" spans="2:8" x14ac:dyDescent="0.3">
      <c r="B224" s="33"/>
      <c r="C224" s="24"/>
      <c r="D224" s="34"/>
      <c r="E224" s="38"/>
      <c r="F224" s="31" t="str">
        <f t="shared" si="3"/>
        <v/>
      </c>
      <c r="G224" s="24"/>
      <c r="H224" s="19"/>
    </row>
    <row r="225" spans="2:8" x14ac:dyDescent="0.3">
      <c r="B225" s="33"/>
      <c r="C225" s="24"/>
      <c r="D225" s="34"/>
      <c r="E225" s="38"/>
      <c r="F225" s="29" t="str">
        <f t="shared" si="3"/>
        <v/>
      </c>
      <c r="G225" s="24"/>
      <c r="H225" s="37"/>
    </row>
    <row r="226" spans="2:8" x14ac:dyDescent="0.3">
      <c r="B226" s="33"/>
      <c r="C226" s="24"/>
      <c r="D226" s="34"/>
      <c r="E226" s="38"/>
      <c r="F226" s="31" t="str">
        <f t="shared" si="3"/>
        <v/>
      </c>
      <c r="G226" s="24"/>
      <c r="H226" s="19"/>
    </row>
    <row r="227" spans="2:8" x14ac:dyDescent="0.3">
      <c r="B227" s="33"/>
      <c r="C227" s="24"/>
      <c r="D227" s="34"/>
      <c r="E227" s="38"/>
      <c r="F227" s="29" t="str">
        <f t="shared" si="3"/>
        <v/>
      </c>
      <c r="G227" s="24"/>
      <c r="H227" s="37"/>
    </row>
    <row r="228" spans="2:8" x14ac:dyDescent="0.3">
      <c r="B228" s="33"/>
      <c r="C228" s="24"/>
      <c r="D228" s="34"/>
      <c r="E228" s="38"/>
      <c r="F228" s="31" t="str">
        <f t="shared" si="3"/>
        <v/>
      </c>
      <c r="G228" s="24"/>
      <c r="H228" s="19"/>
    </row>
    <row r="229" spans="2:8" x14ac:dyDescent="0.3">
      <c r="B229" s="33"/>
      <c r="C229" s="24"/>
      <c r="D229" s="34"/>
      <c r="E229" s="38"/>
      <c r="F229" s="29" t="str">
        <f t="shared" si="3"/>
        <v/>
      </c>
      <c r="G229" s="24"/>
      <c r="H229" s="37"/>
    </row>
    <row r="230" spans="2:8" x14ac:dyDescent="0.3">
      <c r="B230" s="33"/>
      <c r="C230" s="24"/>
      <c r="D230" s="34"/>
      <c r="E230" s="38"/>
      <c r="F230" s="31" t="str">
        <f t="shared" si="3"/>
        <v/>
      </c>
      <c r="G230" s="24"/>
      <c r="H230" s="19"/>
    </row>
    <row r="231" spans="2:8" x14ac:dyDescent="0.3">
      <c r="B231" s="33"/>
      <c r="C231" s="24"/>
      <c r="D231" s="34"/>
      <c r="E231" s="38"/>
      <c r="F231" s="29" t="str">
        <f t="shared" si="3"/>
        <v/>
      </c>
      <c r="G231" s="24"/>
      <c r="H231" s="37"/>
    </row>
    <row r="232" spans="2:8" x14ac:dyDescent="0.3">
      <c r="B232" s="33"/>
      <c r="C232" s="24"/>
      <c r="D232" s="34"/>
      <c r="E232" s="38"/>
      <c r="F232" s="31" t="str">
        <f t="shared" si="3"/>
        <v/>
      </c>
      <c r="G232" s="24"/>
      <c r="H232" s="19"/>
    </row>
    <row r="233" spans="2:8" x14ac:dyDescent="0.3">
      <c r="B233" s="33"/>
      <c r="C233" s="24"/>
      <c r="D233" s="34"/>
      <c r="E233" s="38"/>
      <c r="F233" s="29" t="str">
        <f t="shared" si="3"/>
        <v/>
      </c>
      <c r="G233" s="24"/>
      <c r="H233" s="37"/>
    </row>
    <row r="234" spans="2:8" x14ac:dyDescent="0.3">
      <c r="B234" s="33"/>
      <c r="C234" s="24"/>
      <c r="D234" s="34"/>
      <c r="E234" s="38"/>
      <c r="F234" s="31" t="str">
        <f t="shared" si="3"/>
        <v/>
      </c>
      <c r="G234" s="24"/>
      <c r="H234" s="19"/>
    </row>
    <row r="235" spans="2:8" x14ac:dyDescent="0.3">
      <c r="B235" s="33"/>
      <c r="C235" s="24"/>
      <c r="D235" s="34"/>
      <c r="E235" s="38"/>
      <c r="F235" s="29" t="str">
        <f t="shared" si="3"/>
        <v/>
      </c>
      <c r="G235" s="24"/>
      <c r="H235" s="37"/>
    </row>
    <row r="236" spans="2:8" x14ac:dyDescent="0.3">
      <c r="B236" s="33"/>
      <c r="C236" s="24"/>
      <c r="D236" s="34"/>
      <c r="E236" s="38"/>
      <c r="F236" s="31" t="str">
        <f t="shared" si="3"/>
        <v/>
      </c>
      <c r="G236" s="24"/>
      <c r="H236" s="19"/>
    </row>
    <row r="237" spans="2:8" x14ac:dyDescent="0.3">
      <c r="B237" s="33"/>
      <c r="C237" s="24"/>
      <c r="D237" s="34"/>
      <c r="E237" s="38"/>
      <c r="F237" s="29" t="str">
        <f t="shared" si="3"/>
        <v/>
      </c>
      <c r="G237" s="24"/>
      <c r="H237" s="37"/>
    </row>
    <row r="238" spans="2:8" x14ac:dyDescent="0.3">
      <c r="B238" s="33"/>
      <c r="C238" s="24"/>
      <c r="D238" s="34"/>
      <c r="E238" s="38"/>
      <c r="F238" s="31" t="str">
        <f t="shared" si="3"/>
        <v/>
      </c>
      <c r="G238" s="24"/>
      <c r="H238" s="19"/>
    </row>
    <row r="239" spans="2:8" x14ac:dyDescent="0.3">
      <c r="B239" s="33"/>
      <c r="C239" s="24"/>
      <c r="D239" s="34"/>
      <c r="E239" s="38"/>
      <c r="F239" s="29" t="str">
        <f t="shared" si="3"/>
        <v/>
      </c>
      <c r="G239" s="24"/>
      <c r="H239" s="37"/>
    </row>
    <row r="240" spans="2:8" x14ac:dyDescent="0.3">
      <c r="B240" s="33"/>
      <c r="C240" s="24"/>
      <c r="D240" s="34"/>
      <c r="E240" s="38"/>
      <c r="F240" s="31" t="str">
        <f t="shared" si="3"/>
        <v/>
      </c>
      <c r="G240" s="24"/>
      <c r="H240" s="19"/>
    </row>
    <row r="241" spans="2:8" x14ac:dyDescent="0.3">
      <c r="B241" s="33"/>
      <c r="C241" s="24"/>
      <c r="D241" s="34"/>
      <c r="E241" s="38"/>
      <c r="F241" s="29" t="str">
        <f t="shared" si="3"/>
        <v/>
      </c>
      <c r="G241" s="24"/>
      <c r="H241" s="37"/>
    </row>
    <row r="242" spans="2:8" x14ac:dyDescent="0.3">
      <c r="B242" s="33"/>
      <c r="C242" s="24"/>
      <c r="D242" s="34"/>
      <c r="E242" s="38"/>
      <c r="F242" s="31" t="str">
        <f t="shared" si="3"/>
        <v/>
      </c>
      <c r="G242" s="24"/>
      <c r="H242" s="19"/>
    </row>
    <row r="243" spans="2:8" x14ac:dyDescent="0.3">
      <c r="B243" s="33"/>
      <c r="C243" s="24"/>
      <c r="D243" s="34"/>
      <c r="E243" s="38"/>
      <c r="F243" s="29" t="str">
        <f t="shared" si="3"/>
        <v/>
      </c>
      <c r="G243" s="24"/>
      <c r="H243" s="37"/>
    </row>
    <row r="244" spans="2:8" x14ac:dyDescent="0.3">
      <c r="B244" s="33"/>
      <c r="C244" s="24"/>
      <c r="D244" s="34"/>
      <c r="E244" s="38"/>
      <c r="F244" s="31" t="str">
        <f t="shared" si="3"/>
        <v/>
      </c>
      <c r="G244" s="24"/>
      <c r="H244" s="19"/>
    </row>
    <row r="245" spans="2:8" x14ac:dyDescent="0.3">
      <c r="B245" s="33"/>
      <c r="C245" s="24"/>
      <c r="D245" s="34"/>
      <c r="E245" s="38"/>
      <c r="F245" s="29" t="str">
        <f t="shared" si="3"/>
        <v/>
      </c>
      <c r="G245" s="24"/>
      <c r="H245" s="37"/>
    </row>
    <row r="246" spans="2:8" x14ac:dyDescent="0.3">
      <c r="B246" s="33"/>
      <c r="C246" s="24"/>
      <c r="D246" s="34"/>
      <c r="E246" s="38"/>
      <c r="F246" s="31" t="str">
        <f t="shared" si="3"/>
        <v/>
      </c>
      <c r="G246" s="24"/>
      <c r="H246" s="19"/>
    </row>
    <row r="247" spans="2:8" x14ac:dyDescent="0.3">
      <c r="B247" s="33"/>
      <c r="C247" s="24"/>
      <c r="D247" s="34"/>
      <c r="E247" s="38"/>
      <c r="F247" s="29" t="str">
        <f t="shared" si="3"/>
        <v/>
      </c>
      <c r="G247" s="24"/>
      <c r="H247" s="37"/>
    </row>
    <row r="248" spans="2:8" x14ac:dyDescent="0.3">
      <c r="B248" s="33"/>
      <c r="C248" s="24"/>
      <c r="D248" s="34"/>
      <c r="E248" s="38"/>
      <c r="F248" s="31" t="str">
        <f t="shared" si="3"/>
        <v/>
      </c>
      <c r="G248" s="24"/>
      <c r="H248" s="19"/>
    </row>
    <row r="249" spans="2:8" x14ac:dyDescent="0.3">
      <c r="B249" s="33"/>
      <c r="C249" s="24"/>
      <c r="D249" s="34"/>
      <c r="E249" s="38"/>
      <c r="F249" s="29" t="str">
        <f t="shared" si="3"/>
        <v/>
      </c>
      <c r="G249" s="24"/>
      <c r="H249" s="37"/>
    </row>
    <row r="250" spans="2:8" x14ac:dyDescent="0.3">
      <c r="B250" s="33"/>
      <c r="C250" s="24"/>
      <c r="D250" s="34"/>
      <c r="E250" s="38"/>
      <c r="F250" s="31" t="str">
        <f t="shared" si="3"/>
        <v/>
      </c>
      <c r="G250" s="24"/>
      <c r="H250" s="19"/>
    </row>
    <row r="251" spans="2:8" x14ac:dyDescent="0.3">
      <c r="B251" s="33"/>
      <c r="C251" s="24"/>
      <c r="D251" s="34"/>
      <c r="E251" s="38"/>
      <c r="F251" s="29" t="str">
        <f t="shared" si="3"/>
        <v/>
      </c>
      <c r="G251" s="24"/>
      <c r="H251" s="37"/>
    </row>
    <row r="252" spans="2:8" x14ac:dyDescent="0.3">
      <c r="B252" s="33"/>
      <c r="C252" s="24"/>
      <c r="D252" s="34"/>
      <c r="E252" s="38"/>
      <c r="F252" s="31" t="str">
        <f t="shared" si="3"/>
        <v/>
      </c>
      <c r="G252" s="24"/>
      <c r="H252" s="19"/>
    </row>
    <row r="253" spans="2:8" x14ac:dyDescent="0.3">
      <c r="B253" s="33"/>
      <c r="C253" s="24"/>
      <c r="D253" s="34"/>
      <c r="E253" s="38"/>
      <c r="F253" s="29" t="str">
        <f t="shared" si="3"/>
        <v/>
      </c>
      <c r="G253" s="24"/>
      <c r="H253" s="37"/>
    </row>
    <row r="254" spans="2:8" x14ac:dyDescent="0.3">
      <c r="B254" s="33"/>
      <c r="C254" s="24"/>
      <c r="D254" s="34"/>
      <c r="E254" s="38"/>
      <c r="F254" s="31" t="str">
        <f t="shared" si="3"/>
        <v/>
      </c>
      <c r="G254" s="24"/>
      <c r="H254" s="19"/>
    </row>
    <row r="255" spans="2:8" x14ac:dyDescent="0.3">
      <c r="B255" s="33"/>
      <c r="C255" s="24"/>
      <c r="D255" s="34"/>
      <c r="E255" s="38"/>
      <c r="F255" s="29" t="str">
        <f t="shared" si="3"/>
        <v/>
      </c>
      <c r="G255" s="24"/>
      <c r="H255" s="37"/>
    </row>
    <row r="256" spans="2:8" x14ac:dyDescent="0.3">
      <c r="B256" s="33"/>
      <c r="C256" s="24"/>
      <c r="D256" s="34"/>
      <c r="E256" s="38"/>
      <c r="F256" s="31" t="str">
        <f t="shared" si="3"/>
        <v/>
      </c>
      <c r="G256" s="24"/>
      <c r="H256" s="19"/>
    </row>
    <row r="257" spans="2:8" x14ac:dyDescent="0.3">
      <c r="B257" s="33"/>
      <c r="C257" s="24"/>
      <c r="D257" s="34"/>
      <c r="E257" s="38"/>
      <c r="F257" s="29" t="str">
        <f t="shared" si="3"/>
        <v/>
      </c>
      <c r="G257" s="24"/>
      <c r="H257" s="37"/>
    </row>
    <row r="258" spans="2:8" x14ac:dyDescent="0.3">
      <c r="B258" s="33"/>
      <c r="C258" s="24"/>
      <c r="D258" s="34"/>
      <c r="E258" s="38"/>
      <c r="F258" s="31" t="str">
        <f t="shared" si="3"/>
        <v/>
      </c>
      <c r="G258" s="24"/>
      <c r="H258" s="19"/>
    </row>
    <row r="259" spans="2:8" x14ac:dyDescent="0.3">
      <c r="B259" s="33"/>
      <c r="C259" s="24"/>
      <c r="D259" s="34"/>
      <c r="E259" s="38"/>
      <c r="F259" s="29" t="str">
        <f t="shared" si="3"/>
        <v/>
      </c>
      <c r="G259" s="24"/>
      <c r="H259" s="37"/>
    </row>
    <row r="260" spans="2:8" x14ac:dyDescent="0.3">
      <c r="B260" s="33"/>
      <c r="C260" s="24"/>
      <c r="D260" s="34"/>
      <c r="E260" s="38"/>
      <c r="F260" s="31" t="str">
        <f t="shared" si="3"/>
        <v/>
      </c>
      <c r="G260" s="24"/>
      <c r="H260" s="19"/>
    </row>
    <row r="261" spans="2:8" x14ac:dyDescent="0.3">
      <c r="B261" s="33"/>
      <c r="C261" s="24"/>
      <c r="D261" s="34"/>
      <c r="E261" s="38"/>
      <c r="F261" s="29" t="str">
        <f t="shared" ref="F261:F324" si="4">IF(OR(D261="",E261=""),"",D261*E261)</f>
        <v/>
      </c>
      <c r="G261" s="24"/>
      <c r="H261" s="37"/>
    </row>
    <row r="262" spans="2:8" x14ac:dyDescent="0.3">
      <c r="B262" s="33"/>
      <c r="C262" s="24"/>
      <c r="D262" s="34"/>
      <c r="E262" s="38"/>
      <c r="F262" s="31" t="str">
        <f t="shared" si="4"/>
        <v/>
      </c>
      <c r="G262" s="24"/>
      <c r="H262" s="19"/>
    </row>
    <row r="263" spans="2:8" x14ac:dyDescent="0.3">
      <c r="B263" s="33"/>
      <c r="C263" s="24"/>
      <c r="D263" s="34"/>
      <c r="E263" s="38"/>
      <c r="F263" s="29" t="str">
        <f t="shared" si="4"/>
        <v/>
      </c>
      <c r="G263" s="24"/>
      <c r="H263" s="37"/>
    </row>
    <row r="264" spans="2:8" x14ac:dyDescent="0.3">
      <c r="B264" s="33"/>
      <c r="C264" s="24"/>
      <c r="D264" s="34"/>
      <c r="E264" s="38"/>
      <c r="F264" s="31" t="str">
        <f t="shared" si="4"/>
        <v/>
      </c>
      <c r="G264" s="24"/>
      <c r="H264" s="19"/>
    </row>
    <row r="265" spans="2:8" x14ac:dyDescent="0.3">
      <c r="B265" s="33"/>
      <c r="C265" s="24"/>
      <c r="D265" s="34"/>
      <c r="E265" s="38"/>
      <c r="F265" s="29" t="str">
        <f t="shared" si="4"/>
        <v/>
      </c>
      <c r="G265" s="24"/>
      <c r="H265" s="37"/>
    </row>
    <row r="266" spans="2:8" x14ac:dyDescent="0.3">
      <c r="B266" s="33"/>
      <c r="C266" s="24"/>
      <c r="D266" s="34"/>
      <c r="E266" s="38"/>
      <c r="F266" s="31" t="str">
        <f t="shared" si="4"/>
        <v/>
      </c>
      <c r="G266" s="24"/>
      <c r="H266" s="19"/>
    </row>
    <row r="267" spans="2:8" x14ac:dyDescent="0.3">
      <c r="B267" s="33"/>
      <c r="C267" s="24"/>
      <c r="D267" s="34"/>
      <c r="E267" s="38"/>
      <c r="F267" s="29" t="str">
        <f t="shared" si="4"/>
        <v/>
      </c>
      <c r="G267" s="24"/>
      <c r="H267" s="37"/>
    </row>
    <row r="268" spans="2:8" x14ac:dyDescent="0.3">
      <c r="B268" s="33"/>
      <c r="C268" s="24"/>
      <c r="D268" s="34"/>
      <c r="E268" s="38"/>
      <c r="F268" s="31" t="str">
        <f t="shared" si="4"/>
        <v/>
      </c>
      <c r="G268" s="24"/>
      <c r="H268" s="19"/>
    </row>
    <row r="269" spans="2:8" x14ac:dyDescent="0.3">
      <c r="B269" s="33"/>
      <c r="C269" s="24"/>
      <c r="D269" s="34"/>
      <c r="E269" s="38"/>
      <c r="F269" s="29" t="str">
        <f t="shared" si="4"/>
        <v/>
      </c>
      <c r="G269" s="24"/>
      <c r="H269" s="37"/>
    </row>
    <row r="270" spans="2:8" x14ac:dyDescent="0.3">
      <c r="B270" s="33"/>
      <c r="C270" s="24"/>
      <c r="D270" s="34"/>
      <c r="E270" s="38"/>
      <c r="F270" s="31" t="str">
        <f t="shared" si="4"/>
        <v/>
      </c>
      <c r="G270" s="24"/>
      <c r="H270" s="19"/>
    </row>
    <row r="271" spans="2:8" x14ac:dyDescent="0.3">
      <c r="B271" s="33"/>
      <c r="C271" s="24"/>
      <c r="D271" s="34"/>
      <c r="E271" s="38"/>
      <c r="F271" s="29" t="str">
        <f t="shared" si="4"/>
        <v/>
      </c>
      <c r="G271" s="24"/>
      <c r="H271" s="37"/>
    </row>
    <row r="272" spans="2:8" x14ac:dyDescent="0.3">
      <c r="B272" s="33"/>
      <c r="C272" s="24"/>
      <c r="D272" s="34"/>
      <c r="E272" s="38"/>
      <c r="F272" s="31" t="str">
        <f t="shared" si="4"/>
        <v/>
      </c>
      <c r="G272" s="24"/>
      <c r="H272" s="19"/>
    </row>
    <row r="273" spans="2:8" x14ac:dyDescent="0.3">
      <c r="B273" s="33"/>
      <c r="C273" s="24"/>
      <c r="D273" s="34"/>
      <c r="E273" s="38"/>
      <c r="F273" s="29" t="str">
        <f t="shared" si="4"/>
        <v/>
      </c>
      <c r="G273" s="24"/>
      <c r="H273" s="37"/>
    </row>
    <row r="274" spans="2:8" x14ac:dyDescent="0.3">
      <c r="B274" s="33"/>
      <c r="C274" s="24"/>
      <c r="D274" s="34"/>
      <c r="E274" s="38"/>
      <c r="F274" s="31" t="str">
        <f t="shared" si="4"/>
        <v/>
      </c>
      <c r="G274" s="24"/>
      <c r="H274" s="19"/>
    </row>
    <row r="275" spans="2:8" x14ac:dyDescent="0.3">
      <c r="B275" s="33"/>
      <c r="C275" s="24"/>
      <c r="D275" s="34"/>
      <c r="E275" s="38"/>
      <c r="F275" s="29" t="str">
        <f t="shared" si="4"/>
        <v/>
      </c>
      <c r="G275" s="24"/>
      <c r="H275" s="37"/>
    </row>
    <row r="276" spans="2:8" x14ac:dyDescent="0.3">
      <c r="B276" s="33"/>
      <c r="C276" s="24"/>
      <c r="D276" s="34"/>
      <c r="E276" s="38"/>
      <c r="F276" s="31" t="str">
        <f t="shared" si="4"/>
        <v/>
      </c>
      <c r="G276" s="24"/>
      <c r="H276" s="19"/>
    </row>
    <row r="277" spans="2:8" x14ac:dyDescent="0.3">
      <c r="B277" s="33"/>
      <c r="C277" s="24"/>
      <c r="D277" s="34"/>
      <c r="E277" s="38"/>
      <c r="F277" s="29" t="str">
        <f t="shared" si="4"/>
        <v/>
      </c>
      <c r="G277" s="24"/>
      <c r="H277" s="37"/>
    </row>
    <row r="278" spans="2:8" x14ac:dyDescent="0.3">
      <c r="B278" s="33"/>
      <c r="C278" s="24"/>
      <c r="D278" s="34"/>
      <c r="E278" s="38"/>
      <c r="F278" s="31" t="str">
        <f t="shared" si="4"/>
        <v/>
      </c>
      <c r="G278" s="24"/>
      <c r="H278" s="19"/>
    </row>
    <row r="279" spans="2:8" x14ac:dyDescent="0.3">
      <c r="B279" s="33"/>
      <c r="C279" s="24"/>
      <c r="D279" s="34"/>
      <c r="E279" s="38"/>
      <c r="F279" s="29" t="str">
        <f t="shared" si="4"/>
        <v/>
      </c>
      <c r="G279" s="24"/>
      <c r="H279" s="37"/>
    </row>
    <row r="280" spans="2:8" x14ac:dyDescent="0.3">
      <c r="B280" s="33"/>
      <c r="C280" s="24"/>
      <c r="D280" s="34"/>
      <c r="E280" s="38"/>
      <c r="F280" s="31" t="str">
        <f t="shared" si="4"/>
        <v/>
      </c>
      <c r="G280" s="24"/>
      <c r="H280" s="19"/>
    </row>
    <row r="281" spans="2:8" x14ac:dyDescent="0.3">
      <c r="B281" s="33"/>
      <c r="C281" s="24"/>
      <c r="D281" s="34"/>
      <c r="E281" s="38"/>
      <c r="F281" s="29" t="str">
        <f t="shared" si="4"/>
        <v/>
      </c>
      <c r="G281" s="24"/>
      <c r="H281" s="37"/>
    </row>
    <row r="282" spans="2:8" x14ac:dyDescent="0.3">
      <c r="B282" s="33"/>
      <c r="C282" s="24"/>
      <c r="D282" s="34"/>
      <c r="E282" s="38"/>
      <c r="F282" s="31" t="str">
        <f t="shared" si="4"/>
        <v/>
      </c>
      <c r="G282" s="24"/>
      <c r="H282" s="19"/>
    </row>
    <row r="283" spans="2:8" x14ac:dyDescent="0.3">
      <c r="B283" s="33"/>
      <c r="C283" s="24"/>
      <c r="D283" s="34"/>
      <c r="E283" s="38"/>
      <c r="F283" s="29" t="str">
        <f t="shared" si="4"/>
        <v/>
      </c>
      <c r="G283" s="24"/>
      <c r="H283" s="37"/>
    </row>
    <row r="284" spans="2:8" x14ac:dyDescent="0.3">
      <c r="B284" s="33"/>
      <c r="C284" s="24"/>
      <c r="D284" s="34"/>
      <c r="E284" s="38"/>
      <c r="F284" s="31" t="str">
        <f t="shared" si="4"/>
        <v/>
      </c>
      <c r="G284" s="24"/>
      <c r="H284" s="19"/>
    </row>
    <row r="285" spans="2:8" x14ac:dyDescent="0.3">
      <c r="B285" s="33"/>
      <c r="C285" s="24"/>
      <c r="D285" s="34"/>
      <c r="E285" s="38"/>
      <c r="F285" s="29" t="str">
        <f t="shared" si="4"/>
        <v/>
      </c>
      <c r="G285" s="24"/>
      <c r="H285" s="37"/>
    </row>
    <row r="286" spans="2:8" x14ac:dyDescent="0.3">
      <c r="B286" s="33"/>
      <c r="C286" s="24"/>
      <c r="D286" s="34"/>
      <c r="E286" s="38"/>
      <c r="F286" s="31" t="str">
        <f t="shared" si="4"/>
        <v/>
      </c>
      <c r="G286" s="24"/>
      <c r="H286" s="19"/>
    </row>
    <row r="287" spans="2:8" x14ac:dyDescent="0.3">
      <c r="B287" s="33"/>
      <c r="C287" s="24"/>
      <c r="D287" s="34"/>
      <c r="E287" s="38"/>
      <c r="F287" s="29" t="str">
        <f t="shared" si="4"/>
        <v/>
      </c>
      <c r="G287" s="24"/>
      <c r="H287" s="37"/>
    </row>
    <row r="288" spans="2:8" x14ac:dyDescent="0.3">
      <c r="B288" s="33"/>
      <c r="C288" s="24"/>
      <c r="D288" s="34"/>
      <c r="E288" s="38"/>
      <c r="F288" s="31" t="str">
        <f t="shared" si="4"/>
        <v/>
      </c>
      <c r="G288" s="24"/>
      <c r="H288" s="19"/>
    </row>
    <row r="289" spans="2:8" x14ac:dyDescent="0.3">
      <c r="B289" s="33"/>
      <c r="C289" s="24"/>
      <c r="D289" s="34"/>
      <c r="E289" s="38"/>
      <c r="F289" s="29" t="str">
        <f t="shared" si="4"/>
        <v/>
      </c>
      <c r="G289" s="24"/>
      <c r="H289" s="37"/>
    </row>
    <row r="290" spans="2:8" x14ac:dyDescent="0.3">
      <c r="B290" s="33"/>
      <c r="C290" s="24"/>
      <c r="D290" s="34"/>
      <c r="E290" s="38"/>
      <c r="F290" s="31" t="str">
        <f t="shared" si="4"/>
        <v/>
      </c>
      <c r="G290" s="24"/>
      <c r="H290" s="19"/>
    </row>
    <row r="291" spans="2:8" x14ac:dyDescent="0.3">
      <c r="B291" s="33"/>
      <c r="C291" s="24"/>
      <c r="D291" s="34"/>
      <c r="E291" s="38"/>
      <c r="F291" s="29" t="str">
        <f t="shared" si="4"/>
        <v/>
      </c>
      <c r="G291" s="24"/>
      <c r="H291" s="37"/>
    </row>
    <row r="292" spans="2:8" x14ac:dyDescent="0.3">
      <c r="B292" s="33"/>
      <c r="C292" s="24"/>
      <c r="D292" s="34"/>
      <c r="E292" s="38"/>
      <c r="F292" s="31" t="str">
        <f t="shared" si="4"/>
        <v/>
      </c>
      <c r="G292" s="24"/>
      <c r="H292" s="19"/>
    </row>
    <row r="293" spans="2:8" x14ac:dyDescent="0.3">
      <c r="B293" s="33"/>
      <c r="C293" s="24"/>
      <c r="D293" s="34"/>
      <c r="E293" s="38"/>
      <c r="F293" s="29" t="str">
        <f t="shared" si="4"/>
        <v/>
      </c>
      <c r="G293" s="24"/>
      <c r="H293" s="37"/>
    </row>
    <row r="294" spans="2:8" x14ac:dyDescent="0.3">
      <c r="B294" s="33"/>
      <c r="C294" s="24"/>
      <c r="D294" s="34"/>
      <c r="E294" s="38"/>
      <c r="F294" s="31" t="str">
        <f t="shared" si="4"/>
        <v/>
      </c>
      <c r="G294" s="24"/>
      <c r="H294" s="19"/>
    </row>
    <row r="295" spans="2:8" x14ac:dyDescent="0.3">
      <c r="B295" s="33"/>
      <c r="C295" s="24"/>
      <c r="D295" s="34"/>
      <c r="E295" s="38"/>
      <c r="F295" s="29" t="str">
        <f t="shared" si="4"/>
        <v/>
      </c>
      <c r="G295" s="24"/>
      <c r="H295" s="37"/>
    </row>
    <row r="296" spans="2:8" x14ac:dyDescent="0.3">
      <c r="B296" s="33"/>
      <c r="C296" s="24"/>
      <c r="D296" s="34"/>
      <c r="E296" s="38"/>
      <c r="F296" s="31" t="str">
        <f t="shared" si="4"/>
        <v/>
      </c>
      <c r="G296" s="24"/>
      <c r="H296" s="19"/>
    </row>
    <row r="297" spans="2:8" x14ac:dyDescent="0.3">
      <c r="B297" s="33"/>
      <c r="C297" s="24"/>
      <c r="D297" s="34"/>
      <c r="E297" s="38"/>
      <c r="F297" s="29" t="str">
        <f t="shared" si="4"/>
        <v/>
      </c>
      <c r="G297" s="24"/>
      <c r="H297" s="37"/>
    </row>
    <row r="298" spans="2:8" x14ac:dyDescent="0.3">
      <c r="B298" s="33"/>
      <c r="C298" s="24"/>
      <c r="D298" s="34"/>
      <c r="E298" s="38"/>
      <c r="F298" s="31" t="str">
        <f t="shared" si="4"/>
        <v/>
      </c>
      <c r="G298" s="24"/>
      <c r="H298" s="19"/>
    </row>
    <row r="299" spans="2:8" x14ac:dyDescent="0.3">
      <c r="B299" s="33"/>
      <c r="C299" s="24"/>
      <c r="D299" s="34"/>
      <c r="E299" s="38"/>
      <c r="F299" s="29" t="str">
        <f t="shared" si="4"/>
        <v/>
      </c>
      <c r="G299" s="24"/>
      <c r="H299" s="37"/>
    </row>
    <row r="300" spans="2:8" x14ac:dyDescent="0.3">
      <c r="B300" s="33"/>
      <c r="C300" s="24"/>
      <c r="D300" s="34"/>
      <c r="E300" s="38"/>
      <c r="F300" s="31" t="str">
        <f t="shared" si="4"/>
        <v/>
      </c>
      <c r="G300" s="24"/>
      <c r="H300" s="19"/>
    </row>
    <row r="301" spans="2:8" x14ac:dyDescent="0.3">
      <c r="B301" s="33"/>
      <c r="C301" s="24"/>
      <c r="D301" s="34"/>
      <c r="E301" s="38"/>
      <c r="F301" s="29" t="str">
        <f t="shared" si="4"/>
        <v/>
      </c>
      <c r="G301" s="24"/>
      <c r="H301" s="37"/>
    </row>
    <row r="302" spans="2:8" x14ac:dyDescent="0.3">
      <c r="B302" s="33"/>
      <c r="C302" s="24"/>
      <c r="D302" s="34"/>
      <c r="E302" s="38"/>
      <c r="F302" s="31" t="str">
        <f t="shared" si="4"/>
        <v/>
      </c>
      <c r="G302" s="24"/>
      <c r="H302" s="19"/>
    </row>
    <row r="303" spans="2:8" x14ac:dyDescent="0.3">
      <c r="B303" s="33"/>
      <c r="C303" s="24"/>
      <c r="D303" s="34"/>
      <c r="E303" s="38"/>
      <c r="F303" s="29" t="str">
        <f t="shared" si="4"/>
        <v/>
      </c>
      <c r="G303" s="24"/>
      <c r="H303" s="37"/>
    </row>
    <row r="304" spans="2:8" x14ac:dyDescent="0.3">
      <c r="B304" s="33"/>
      <c r="C304" s="24"/>
      <c r="D304" s="34"/>
      <c r="E304" s="38"/>
      <c r="F304" s="31" t="str">
        <f t="shared" si="4"/>
        <v/>
      </c>
      <c r="G304" s="24"/>
      <c r="H304" s="19"/>
    </row>
  </sheetData>
  <mergeCells count="2">
    <mergeCell ref="B1:G1"/>
    <mergeCell ref="B2:G2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="اختر منتجاً من القائمة، أو أضفه أولاً في شيت المنتجات" xr:uid="{00000000-0002-0000-0400-000000000000}">
          <x14:formula1>
            <xm:f>المنتجات!$C$5:$C$34</xm:f>
          </x14:formula1>
          <x14:formula2>
            <xm:f>0</xm:f>
          </x14:formula2>
          <xm:sqref>C5:C304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M37"/>
  <sheetViews>
    <sheetView showGridLines="0" rightToLeft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M13" sqref="M13"/>
    </sheetView>
  </sheetViews>
  <sheetFormatPr defaultColWidth="8.6640625" defaultRowHeight="14.4" x14ac:dyDescent="0.3"/>
  <cols>
    <col min="1" max="1" width="3" customWidth="1"/>
    <col min="2" max="2" width="20" customWidth="1"/>
    <col min="3" max="3" width="12" customWidth="1"/>
    <col min="4" max="5" width="13" customWidth="1"/>
    <col min="6" max="6" width="12" customWidth="1"/>
    <col min="7" max="8" width="13" customWidth="1"/>
    <col min="9" max="9" width="12" customWidth="1"/>
    <col min="10" max="10" width="10" customWidth="1"/>
    <col min="11" max="11" width="12" customWidth="1"/>
    <col min="12" max="12" width="13" customWidth="1"/>
    <col min="13" max="13" width="10" customWidth="1"/>
  </cols>
  <sheetData>
    <row r="1" spans="2:13" ht="21" x14ac:dyDescent="0.3">
      <c r="B1" s="9" t="s">
        <v>57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spans="2:13" x14ac:dyDescent="0.3">
      <c r="B2" s="8" t="s">
        <v>58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4" spans="2:13" ht="41.4" x14ac:dyDescent="0.3">
      <c r="B4" s="35" t="s">
        <v>59</v>
      </c>
      <c r="C4" s="35" t="s">
        <v>60</v>
      </c>
      <c r="D4" s="35" t="s">
        <v>61</v>
      </c>
      <c r="E4" s="35" t="s">
        <v>62</v>
      </c>
      <c r="F4" s="35" t="s">
        <v>63</v>
      </c>
      <c r="G4" s="35" t="s">
        <v>64</v>
      </c>
      <c r="H4" s="35" t="s">
        <v>65</v>
      </c>
      <c r="I4" s="35" t="s">
        <v>66</v>
      </c>
      <c r="J4" s="35" t="s">
        <v>67</v>
      </c>
      <c r="K4" s="35" t="s">
        <v>68</v>
      </c>
      <c r="L4" s="35" t="s">
        <v>69</v>
      </c>
      <c r="M4" s="35" t="s">
        <v>70</v>
      </c>
    </row>
    <row r="5" spans="2:13" x14ac:dyDescent="0.3">
      <c r="B5" s="22" t="str">
        <f>المنتجات!$C$5</f>
        <v>عصير جومانة 2ل</v>
      </c>
      <c r="C5" s="29">
        <f>IF(المنتجات!$C$5="","",SUMIFS('إدخال المشتريات'!$D:$D,'إدخال المشتريات'!$C:$C,المنتجات!$C$5,'إدخال المشتريات'!$B:$B,"&gt;="&amp;'لوحة القيادة'!$C$4,'إدخال المشتريات'!$B:$B,"&lt;="&amp;'لوحة القيادة'!$E$4))</f>
        <v>1840</v>
      </c>
      <c r="D5" s="29">
        <f>IF(المنتجات!$C$5="","",SUMIFS('إدخال المشتريات'!$F:$F,'إدخال المشتريات'!$C:$C,المنتجات!$C$5,'إدخال المشتريات'!$B:$B,"&gt;="&amp;'لوحة القيادة'!$C$4,'إدخال المشتريات'!$B:$B,"&lt;="&amp;'لوحة القيادة'!$E$4))</f>
        <v>680800</v>
      </c>
      <c r="E5" s="39">
        <f>IF(المنتجات!$C$5="","",IFERROR(SUMIFS('إدخال المشتريات'!$F:$F,'إدخال المشتريات'!$C:$C,المنتجات!$C$5)/SUMIFS('إدخال المشتريات'!$D:$D,'إدخال المشتريات'!$C:$C,المنتجات!$C$5),0))</f>
        <v>370</v>
      </c>
      <c r="F5" s="29">
        <f>IF(المنتجات!$C$5="","",SUMIFS('إدخال المبيعات'!$D:$D,'إدخال المبيعات'!$C:$C,المنتجات!$C$5,'إدخال المبيعات'!$B:$B,"&gt;="&amp;'لوحة القيادة'!$C$4,'إدخال المبيعات'!$B:$B,"&lt;="&amp;'لوحة القيادة'!$E$4))</f>
        <v>1202</v>
      </c>
      <c r="G5" s="29">
        <f>IF(المنتجات!$C$5="","",SUMIFS('إدخال المبيعات'!$F:$F,'إدخال المبيعات'!$C:$C,المنتجات!$C$5,'إدخال المبيعات'!$B:$B,"&gt;="&amp;'لوحة القيادة'!$C$4,'إدخال المبيعات'!$B:$B,"&lt;="&amp;'لوحة القيادة'!$E$4))</f>
        <v>540897.24</v>
      </c>
      <c r="H5" s="29">
        <f>IF(المنتجات!$C$5="","",E5*F5)</f>
        <v>444740</v>
      </c>
      <c r="I5" s="40">
        <f>IF(المنتجات!$C$5="","",G5-H5)</f>
        <v>96157.239999999991</v>
      </c>
      <c r="J5" s="41">
        <f>IF(OR(المنتجات!$C$5="",G5=0),"",I5/G5)</f>
        <v>0.17777358227969511</v>
      </c>
      <c r="K5" s="29">
        <f>IF(المنتجات!$C$5="","",SUMIFS('إدخال المشتريات'!$D:$D,'إدخال المشتريات'!$C:$C,المنتجات!$C$5)-SUMIFS('إدخال المبيعات'!$D:$D,'إدخال المبيعات'!$C:$C,المنتجات!$C$5))</f>
        <v>638</v>
      </c>
      <c r="L5" s="42" t="str">
        <f>IF(المنتجات!$C$5="","",IF(K5&lt;=المنتجات!$E$5,"⚠ أعد الطلب","جيد"))</f>
        <v>جيد</v>
      </c>
      <c r="M5" s="42">
        <f>IF(OR(المنتجات!$C$5="",I5=""),"",RANK(I5,$I$5:$I$34))</f>
        <v>1</v>
      </c>
    </row>
    <row r="6" spans="2:13" x14ac:dyDescent="0.3">
      <c r="B6" s="26" t="str">
        <f>المنتجات!$C$6</f>
        <v>عصير كين دور 1.25ل</v>
      </c>
      <c r="C6" s="31">
        <f>IF(المنتجات!$C$6="","",SUMIFS('إدخال المشتريات'!$D:$D,'إدخال المشتريات'!$C:$C,المنتجات!$C$6,'إدخال المشتريات'!$B:$B,"&gt;="&amp;'لوحة القيادة'!$C$4,'إدخال المشتريات'!$B:$B,"&lt;="&amp;'لوحة القيادة'!$E$4))</f>
        <v>938</v>
      </c>
      <c r="D6" s="31">
        <f>IF(المنتجات!$C$6="","",SUMIFS('إدخال المشتريات'!$F:$F,'إدخال المشتريات'!$C:$C,المنتجات!$C$6,'إدخال المشتريات'!$B:$B,"&gt;="&amp;'لوحة القيادة'!$C$4,'إدخال المشتريات'!$B:$B,"&lt;="&amp;'لوحة القيادة'!$E$4))</f>
        <v>286090</v>
      </c>
      <c r="E6" s="43">
        <f>IF(المنتجات!$C$6="","",IFERROR(SUMIFS('إدخال المشتريات'!$F:$F,'إدخال المشتريات'!$C:$C,المنتجات!$C$6)/SUMIFS('إدخال المشتريات'!$D:$D,'إدخال المشتريات'!$C:$C,المنتجات!$C$6),0))</f>
        <v>305</v>
      </c>
      <c r="F6" s="31">
        <f>IF(المنتجات!$C$6="","",SUMIFS('إدخال المبيعات'!$D:$D,'إدخال المبيعات'!$C:$C,المنتجات!$C$6,'إدخال المبيعات'!$B:$B,"&gt;="&amp;'لوحة القيادة'!$C$4,'إدخال المبيعات'!$B:$B,"&lt;="&amp;'لوحة القيادة'!$E$4))</f>
        <v>957</v>
      </c>
      <c r="G6" s="31">
        <f>IF(المنتجات!$C$6="","",SUMIFS('إدخال المبيعات'!$F:$F,'إدخال المبيعات'!$C:$C,المنتجات!$C$6,'إدخال المبيعات'!$B:$B,"&gt;="&amp;'لوحة القيادة'!$C$4,'إدخال المبيعات'!$B:$B,"&lt;="&amp;'لوحة القيادة'!$E$4))</f>
        <v>363656.43</v>
      </c>
      <c r="H6" s="31">
        <f>IF(المنتجات!$C$6="","",E6*F6)</f>
        <v>291885</v>
      </c>
      <c r="I6" s="44">
        <f>IF(المنتجات!$C$6="","",G6-H6)</f>
        <v>71771.429999999993</v>
      </c>
      <c r="J6" s="45">
        <f>IF(OR(المنتجات!$C$6="",G6=0),"",I6/G6)</f>
        <v>0.19736054165191028</v>
      </c>
      <c r="K6" s="31">
        <f>IF(المنتجات!$C$6="","",SUMIFS('إدخال المشتريات'!$D:$D,'إدخال المشتريات'!$C:$C,المنتجات!$C$6)-SUMIFS('إدخال المبيعات'!$D:$D,'إدخال المبيعات'!$C:$C,المنتجات!$C$6))</f>
        <v>-19</v>
      </c>
      <c r="L6" s="46" t="str">
        <f>IF(المنتجات!$C$6="","",IF(K6&lt;=المنتجات!$E$6,"⚠ أعد الطلب","جيد"))</f>
        <v>⚠ أعد الطلب</v>
      </c>
      <c r="M6" s="46">
        <f>IF(OR(المنتجات!$C$6="",I6=""),"",RANK(I6,$I$5:$I$34))</f>
        <v>2</v>
      </c>
    </row>
    <row r="7" spans="2:13" x14ac:dyDescent="0.3">
      <c r="B7" s="22" t="str">
        <f>المنتجات!$C$7</f>
        <v>عصير مدى 33سل</v>
      </c>
      <c r="C7" s="29">
        <f>IF(المنتجات!$C$7="","",SUMIFS('إدخال المشتريات'!$D:$D,'إدخال المشتريات'!$C:$C,المنتجات!$C$7,'إدخال المشتريات'!$B:$B,"&gt;="&amp;'لوحة القيادة'!$C$4,'إدخال المشتريات'!$B:$B,"&lt;="&amp;'لوحة القيادة'!$E$4))</f>
        <v>1350</v>
      </c>
      <c r="D7" s="29">
        <f>IF(المنتجات!$C$7="","",SUMIFS('إدخال المشتريات'!$F:$F,'إدخال المشتريات'!$C:$C,المنتجات!$C$7,'إدخال المشتريات'!$B:$B,"&gt;="&amp;'لوحة القيادة'!$C$4,'إدخال المشتريات'!$B:$B,"&lt;="&amp;'لوحة القيادة'!$E$4))</f>
        <v>432000</v>
      </c>
      <c r="E7" s="39">
        <f>IF(المنتجات!$C$7="","",IFERROR(SUMIFS('إدخال المشتريات'!$F:$F,'إدخال المشتريات'!$C:$C,المنتجات!$C$7)/SUMIFS('إدخال المشتريات'!$D:$D,'إدخال المشتريات'!$C:$C,المنتجات!$C$7),0))</f>
        <v>320</v>
      </c>
      <c r="F7" s="29">
        <f>IF(المنتجات!$C$7="","",SUMIFS('إدخال المبيعات'!$D:$D,'إدخال المبيعات'!$C:$C,المنتجات!$C$7,'إدخال المبيعات'!$B:$B,"&gt;="&amp;'لوحة القيادة'!$C$4,'إدخال المبيعات'!$B:$B,"&lt;="&amp;'لوحة القيادة'!$E$4))</f>
        <v>653</v>
      </c>
      <c r="G7" s="29">
        <f>IF(المنتجات!$C$7="","",SUMIFS('إدخال المبيعات'!$F:$F,'إدخال المبيعات'!$C:$C,المنتجات!$C$7,'إدخال المبيعات'!$B:$B,"&gt;="&amp;'لوحة القيادة'!$C$4,'إدخال المبيعات'!$B:$B,"&lt;="&amp;'لوحة القيادة'!$E$4))</f>
        <v>261199.7</v>
      </c>
      <c r="H7" s="29">
        <f>IF(المنتجات!$C$7="","",E7*F7)</f>
        <v>208960</v>
      </c>
      <c r="I7" s="40">
        <f>IF(المنتجات!$C$7="","",G7-H7)</f>
        <v>52239.700000000012</v>
      </c>
      <c r="J7" s="41">
        <f>IF(OR(المنتجات!$C$7="",G7=0),"",I7/G7)</f>
        <v>0.19999908116280382</v>
      </c>
      <c r="K7" s="29">
        <f>IF(المنتجات!$C$7="","",SUMIFS('إدخال المشتريات'!$D:$D,'إدخال المشتريات'!$C:$C,المنتجات!$C$7)-SUMIFS('إدخال المبيعات'!$D:$D,'إدخال المبيعات'!$C:$C,المنتجات!$C$7))</f>
        <v>697</v>
      </c>
      <c r="L7" s="42" t="str">
        <f>IF(المنتجات!$C$7="","",IF(K7&lt;=المنتجات!$E$7,"⚠ أعد الطلب","جيد"))</f>
        <v>جيد</v>
      </c>
      <c r="M7" s="42">
        <f>IF(OR(المنتجات!$C$7="",I7=""),"",RANK(I7,$I$5:$I$34))</f>
        <v>3</v>
      </c>
    </row>
    <row r="8" spans="2:13" x14ac:dyDescent="0.3">
      <c r="B8" s="26" t="str">
        <f>المنتجات!$C$8</f>
        <v>عصير اكسترا 2ل</v>
      </c>
      <c r="C8" s="31">
        <f>IF(المنتجات!$C$8="","",SUMIFS('إدخال المشتريات'!$D:$D,'إدخال المشتريات'!$C:$C,المنتجات!$C$8,'إدخال المشتريات'!$B:$B,"&gt;="&amp;'لوحة القيادة'!$C$4,'إدخال المشتريات'!$B:$B,"&lt;="&amp;'لوحة القيادة'!$E$4))</f>
        <v>320</v>
      </c>
      <c r="D8" s="31">
        <f>IF(المنتجات!$C$8="","",SUMIFS('إدخال المشتريات'!$F:$F,'إدخال المشتريات'!$C:$C,المنتجات!$C$8,'إدخال المشتريات'!$B:$B,"&gt;="&amp;'لوحة القيادة'!$C$4,'إدخال المشتريات'!$B:$B,"&lt;="&amp;'لوحة القيادة'!$E$4))</f>
        <v>160000</v>
      </c>
      <c r="E8" s="43">
        <f>IF(المنتجات!$C$8="","",IFERROR(SUMIFS('إدخال المشتريات'!$F:$F,'إدخال المشتريات'!$C:$C,المنتجات!$C$8)/SUMIFS('إدخال المشتريات'!$D:$D,'إدخال المشتريات'!$C:$C,المنتجات!$C$8),0))</f>
        <v>500</v>
      </c>
      <c r="F8" s="31">
        <f>IF(المنتجات!$C$8="","",SUMIFS('إدخال المبيعات'!$D:$D,'إدخال المبيعات'!$C:$C,المنتجات!$C$8,'إدخال المبيعات'!$B:$B,"&gt;="&amp;'لوحة القيادة'!$C$4,'إدخال المبيعات'!$B:$B,"&lt;="&amp;'لوحة القيادة'!$E$4))</f>
        <v>316</v>
      </c>
      <c r="G8" s="31">
        <f>IF(المنتجات!$C$8="","",SUMIFS('إدخال المبيعات'!$F:$F,'إدخال المبيعات'!$C:$C,المنتجات!$C$8,'إدخال المبيعات'!$B:$B,"&gt;="&amp;'لوحة القيادة'!$C$4,'إدخال المبيعات'!$B:$B,"&lt;="&amp;'لوحة القيادة'!$E$4))</f>
        <v>188980.63999999998</v>
      </c>
      <c r="H8" s="31">
        <f>IF(المنتجات!$C$8="","",E8*F8)</f>
        <v>158000</v>
      </c>
      <c r="I8" s="44">
        <f>IF(المنتجات!$C$8="","",G8-H8)</f>
        <v>30980.639999999985</v>
      </c>
      <c r="J8" s="45">
        <f>IF(OR(المنتجات!$C$8="",G8=0),"",I8/G8)</f>
        <v>0.16393552270751113</v>
      </c>
      <c r="K8" s="31">
        <f>IF(المنتجات!$C$8="","",SUMIFS('إدخال المشتريات'!$D:$D,'إدخال المشتريات'!$C:$C,المنتجات!$C$8)-SUMIFS('إدخال المبيعات'!$D:$D,'إدخال المبيعات'!$C:$C,المنتجات!$C$8))</f>
        <v>4</v>
      </c>
      <c r="L8" s="46" t="str">
        <f>IF(المنتجات!$C$8="","",IF(K8&lt;=المنتجات!$E$8,"⚠ أعد الطلب","جيد"))</f>
        <v>⚠ أعد الطلب</v>
      </c>
      <c r="M8" s="46">
        <f>IF(OR(المنتجات!$C$8="",I8=""),"",RANK(I8,$I$5:$I$34))</f>
        <v>6</v>
      </c>
    </row>
    <row r="9" spans="2:13" x14ac:dyDescent="0.3">
      <c r="B9" s="22" t="str">
        <f>المنتجات!$C$9</f>
        <v>عصير مدى 1.5ل</v>
      </c>
      <c r="C9" s="29">
        <f>IF(المنتجات!$C$9="","",SUMIFS('إدخال المشتريات'!$D:$D,'إدخال المشتريات'!$C:$C,المنتجات!$C$9,'إدخال المشتريات'!$B:$B,"&gt;="&amp;'لوحة القيادة'!$C$4,'إدخال المشتريات'!$B:$B,"&lt;="&amp;'لوحة القيادة'!$E$4))</f>
        <v>400</v>
      </c>
      <c r="D9" s="29">
        <f>IF(المنتجات!$C$9="","",SUMIFS('إدخال المشتريات'!$F:$F,'إدخال المشتريات'!$C:$C,المنتجات!$C$9,'إدخال المشتريات'!$B:$B,"&gt;="&amp;'لوحة القيادة'!$C$4,'إدخال المشتريات'!$B:$B,"&lt;="&amp;'لوحة القيادة'!$E$4))</f>
        <v>200000</v>
      </c>
      <c r="E9" s="39">
        <f>IF(المنتجات!$C$9="","",IFERROR(SUMIFS('إدخال المشتريات'!$F:$F,'إدخال المشتريات'!$C:$C,المنتجات!$C$9)/SUMIFS('إدخال المشتريات'!$D:$D,'إدخال المشتريات'!$C:$C,المنتجات!$C$9),0))</f>
        <v>500</v>
      </c>
      <c r="F9" s="29">
        <f>IF(المنتجات!$C$9="","",SUMIFS('إدخال المبيعات'!$D:$D,'إدخال المبيعات'!$C:$C,المنتجات!$C$9,'إدخال المبيعات'!$B:$B,"&gt;="&amp;'لوحة القيادة'!$C$4,'إدخال المبيعات'!$B:$B,"&lt;="&amp;'لوحة القيادة'!$E$4))</f>
        <v>317</v>
      </c>
      <c r="G9" s="29">
        <f>IF(المنتجات!$C$9="","",SUMIFS('إدخال المبيعات'!$F:$F,'إدخال المبيعات'!$C:$C,المنتجات!$C$9,'إدخال المبيعات'!$B:$B,"&gt;="&amp;'لوحة القيادة'!$C$4,'إدخال المبيعات'!$B:$B,"&lt;="&amp;'لوحة القيادة'!$E$4))</f>
        <v>190199.32</v>
      </c>
      <c r="H9" s="29">
        <f>IF(المنتجات!$C$9="","",E9*F9)</f>
        <v>158500</v>
      </c>
      <c r="I9" s="40">
        <f>IF(المنتجات!$C$9="","",G9-H9)</f>
        <v>31699.320000000007</v>
      </c>
      <c r="J9" s="41">
        <f>IF(OR(المنتجات!$C$9="",G9=0),"",I9/G9)</f>
        <v>0.16666368733600101</v>
      </c>
      <c r="K9" s="29">
        <f>IF(المنتجات!$C$9="","",SUMIFS('إدخال المشتريات'!$D:$D,'إدخال المشتريات'!$C:$C,المنتجات!$C$9)-SUMIFS('إدخال المبيعات'!$D:$D,'إدخال المبيعات'!$C:$C,المنتجات!$C$9))</f>
        <v>83</v>
      </c>
      <c r="L9" s="42" t="str">
        <f>IF(المنتجات!$C$9="","",IF(K9&lt;=المنتجات!$E$9,"⚠ أعد الطلب","جيد"))</f>
        <v>جيد</v>
      </c>
      <c r="M9" s="42">
        <f>IF(OR(المنتجات!$C$9="",I9=""),"",RANK(I9,$I$5:$I$34))</f>
        <v>5</v>
      </c>
    </row>
    <row r="10" spans="2:13" x14ac:dyDescent="0.3">
      <c r="B10" s="26" t="str">
        <f>المنتجات!$C$10</f>
        <v>جيليكس 2ل</v>
      </c>
      <c r="C10" s="31">
        <f>IF(المنتجات!$C$10="","",SUMIFS('إدخال المشتريات'!$D:$D,'إدخال المشتريات'!$C:$C,المنتجات!$C$10,'إدخال المشتريات'!$B:$B,"&gt;="&amp;'لوحة القيادة'!$C$4,'إدخال المشتريات'!$B:$B,"&lt;="&amp;'لوحة القيادة'!$E$4))</f>
        <v>1280</v>
      </c>
      <c r="D10" s="31">
        <f>IF(المنتجات!$C$10="","",SUMIFS('إدخال المشتريات'!$F:$F,'إدخال المشتريات'!$C:$C,المنتجات!$C$10,'إدخال المشتريات'!$B:$B,"&gt;="&amp;'لوحة القيادة'!$C$4,'إدخال المشتريات'!$B:$B,"&lt;="&amp;'لوحة القيادة'!$E$4))</f>
        <v>618000</v>
      </c>
      <c r="E10" s="43">
        <f>IF(المنتجات!$C$10="","",IFERROR(SUMIFS('إدخال المشتريات'!$F:$F,'إدخال المشتريات'!$C:$C,المنتجات!$C$10)/SUMIFS('إدخال المشتريات'!$D:$D,'إدخال المشتريات'!$C:$C,المنتجات!$C$10),0))</f>
        <v>482.8125</v>
      </c>
      <c r="F10" s="31">
        <f>IF(المنتجات!$C$10="","",SUMIFS('إدخال المبيعات'!$D:$D,'إدخال المبيعات'!$C:$C,المنتجات!$C$10,'إدخال المبيعات'!$B:$B,"&gt;="&amp;'لوحة القيادة'!$C$4,'إدخال المبيعات'!$B:$B,"&lt;="&amp;'لوحة القيادة'!$E$4))</f>
        <v>1033</v>
      </c>
      <c r="G10" s="31">
        <f>IF(المنتجات!$C$10="","",SUMIFS('إدخال المبيعات'!$F:$F,'إدخال المبيعات'!$C:$C,المنتجات!$C$10,'إدخال المبيعات'!$B:$B,"&gt;="&amp;'لوحة القيادة'!$C$4,'إدخال المبيعات'!$B:$B,"&lt;="&amp;'لوحة القيادة'!$E$4))</f>
        <v>537160</v>
      </c>
      <c r="H10" s="31">
        <f>IF(المنتجات!$C$10="","",E10*F10)</f>
        <v>498745.3125</v>
      </c>
      <c r="I10" s="44">
        <f>IF(المنتجات!$C$10="","",G10-H10)</f>
        <v>38414.6875</v>
      </c>
      <c r="J10" s="45">
        <f>IF(OR(المنتجات!$C$10="",G10=0),"",I10/G10)</f>
        <v>7.1514423076923073E-2</v>
      </c>
      <c r="K10" s="31">
        <f>IF(المنتجات!$C$10="","",SUMIFS('إدخال المشتريات'!$D:$D,'إدخال المشتريات'!$C:$C,المنتجات!$C$10)-SUMIFS('إدخال المبيعات'!$D:$D,'إدخال المبيعات'!$C:$C,المنتجات!$C$10))</f>
        <v>247</v>
      </c>
      <c r="L10" s="46" t="str">
        <f>IF(المنتجات!$C$10="","",IF(K10&lt;=المنتجات!$E$10,"⚠ أعد الطلب","جيد"))</f>
        <v>جيد</v>
      </c>
      <c r="M10" s="46">
        <f>IF(OR(المنتجات!$C$10="",I10=""),"",RANK(I10,$I$5:$I$34))</f>
        <v>4</v>
      </c>
    </row>
    <row r="11" spans="2:13" x14ac:dyDescent="0.3">
      <c r="B11" s="22" t="str">
        <f>المنتجات!$C$11</f>
        <v>جي اروى 2ل</v>
      </c>
      <c r="C11" s="29">
        <f>IF(المنتجات!$C$11="","",SUMIFS('إدخال المشتريات'!$D:$D,'إدخال المشتريات'!$C:$C,المنتجات!$C$11,'إدخال المشتريات'!$B:$B,"&gt;="&amp;'لوحة القيادة'!$C$4,'إدخال المشتريات'!$B:$B,"&lt;="&amp;'لوحة القيادة'!$E$4))</f>
        <v>560</v>
      </c>
      <c r="D11" s="29">
        <f>IF(المنتجات!$C$11="","",SUMIFS('إدخال المشتريات'!$F:$F,'إدخال المشتريات'!$C:$C,المنتجات!$C$11,'إدخال المشتريات'!$B:$B,"&gt;="&amp;'لوحة القيادة'!$C$4,'إدخال المشتريات'!$B:$B,"&lt;="&amp;'لوحة القيادة'!$E$4))</f>
        <v>400400</v>
      </c>
      <c r="E11" s="39">
        <f>IF(المنتجات!$C$11="","",IFERROR(SUMIFS('إدخال المشتريات'!$F:$F,'إدخال المشتريات'!$C:$C,المنتجات!$C$11)/SUMIFS('إدخال المشتريات'!$D:$D,'إدخال المشتريات'!$C:$C,المنتجات!$C$11),0))</f>
        <v>715</v>
      </c>
      <c r="F11" s="29">
        <f>IF(المنتجات!$C$11="","",SUMIFS('إدخال المبيعات'!$D:$D,'إدخال المبيعات'!$C:$C,المنتجات!$C$11,'إدخال المبيعات'!$B:$B,"&gt;="&amp;'لوحة القيادة'!$C$4,'إدخال المبيعات'!$B:$B,"&lt;="&amp;'لوحة القيادة'!$E$4))</f>
        <v>321</v>
      </c>
      <c r="G11" s="29">
        <f>IF(المنتجات!$C$11="","",SUMIFS('إدخال المبيعات'!$F:$F,'إدخال المبيعات'!$C:$C,المنتجات!$C$11,'إدخال المبيعات'!$B:$B,"&gt;="&amp;'لوحة القيادة'!$C$4,'إدخال المبيعات'!$B:$B,"&lt;="&amp;'لوحة القيادة'!$E$4))</f>
        <v>243960</v>
      </c>
      <c r="H11" s="29">
        <f>IF(المنتجات!$C$11="","",E11*F11)</f>
        <v>229515</v>
      </c>
      <c r="I11" s="40">
        <f>IF(المنتجات!$C$11="","",G11-H11)</f>
        <v>14445</v>
      </c>
      <c r="J11" s="41">
        <f>IF(OR(المنتجات!$C$11="",G11=0),"",I11/G11)</f>
        <v>5.921052631578947E-2</v>
      </c>
      <c r="K11" s="29">
        <f>IF(المنتجات!$C$11="","",SUMIFS('إدخال المشتريات'!$D:$D,'إدخال المشتريات'!$C:$C,المنتجات!$C$11)-SUMIFS('إدخال المبيعات'!$D:$D,'إدخال المبيعات'!$C:$C,المنتجات!$C$11))</f>
        <v>239</v>
      </c>
      <c r="L11" s="42" t="str">
        <f>IF(المنتجات!$C$11="","",IF(K11&lt;=المنتجات!$E$11,"⚠ أعد الطلب","جيد"))</f>
        <v>جيد</v>
      </c>
      <c r="M11" s="42">
        <f>IF(OR(المنتجات!$C$11="",I11=""),"",RANK(I11,$I$5:$I$34))</f>
        <v>7</v>
      </c>
    </row>
    <row r="12" spans="2:13" x14ac:dyDescent="0.3">
      <c r="B12" s="26" t="str">
        <f>المنتجات!$C$12</f>
        <v>اورنجينا 2 لتر</v>
      </c>
      <c r="C12" s="31">
        <f>IF(المنتجات!$C$12="","",SUMIFS('إدخال المشتريات'!$D:$D,'إدخال المشتريات'!$C:$C,المنتجات!$C$12,'إدخال المشتريات'!$B:$B,"&gt;="&amp;'لوحة القيادة'!$C$4,'إدخال المشتريات'!$B:$B,"&lt;="&amp;'لوحة القيادة'!$E$4))</f>
        <v>560</v>
      </c>
      <c r="D12" s="31">
        <f>IF(المنتجات!$C$12="","",SUMIFS('إدخال المشتريات'!$F:$F,'إدخال المشتريات'!$C:$C,المنتجات!$C$12,'إدخال المشتريات'!$B:$B,"&gt;="&amp;'لوحة القيادة'!$C$4,'إدخال المشتريات'!$B:$B,"&lt;="&amp;'لوحة القيادة'!$E$4))</f>
        <v>400400</v>
      </c>
      <c r="E12" s="43">
        <f>IF(المنتجات!$C$12="","",IFERROR(SUMIFS('إدخال المشتريات'!$F:$F,'إدخال المشتريات'!$C:$C,المنتجات!$C$12)/SUMIFS('إدخال المشتريات'!$D:$D,'إدخال المشتريات'!$C:$C,المنتجات!$C$12),0))</f>
        <v>715</v>
      </c>
      <c r="F12" s="31">
        <f>IF(المنتجات!$C$12="","",SUMIFS('إدخال المبيعات'!$D:$D,'إدخال المبيعات'!$C:$C,المنتجات!$C$12,'إدخال المبيعات'!$B:$B,"&gt;="&amp;'لوحة القيادة'!$C$4,'إدخال المبيعات'!$B:$B,"&lt;="&amp;'لوحة القيادة'!$E$4))</f>
        <v>315</v>
      </c>
      <c r="G12" s="31">
        <f>IF(المنتجات!$C$12="","",SUMIFS('إدخال المبيعات'!$F:$F,'إدخال المبيعات'!$C:$C,المنتجات!$C$12,'إدخال المبيعات'!$B:$B,"&gt;="&amp;'لوحة القيادة'!$C$4,'إدخال المبيعات'!$B:$B,"&lt;="&amp;'لوحة القيادة'!$E$4))</f>
        <v>239400</v>
      </c>
      <c r="H12" s="31">
        <f>IF(المنتجات!$C$12="","",E12*F12)</f>
        <v>225225</v>
      </c>
      <c r="I12" s="44">
        <f>IF(المنتجات!$C$12="","",G12-H12)</f>
        <v>14175</v>
      </c>
      <c r="J12" s="45">
        <f>IF(OR(المنتجات!$C$12="",G12=0),"",I12/G12)</f>
        <v>5.921052631578947E-2</v>
      </c>
      <c r="K12" s="31">
        <f>IF(المنتجات!$C$12="","",SUMIFS('إدخال المشتريات'!$D:$D,'إدخال المشتريات'!$C:$C,المنتجات!$C$12)-SUMIFS('إدخال المبيعات'!$D:$D,'إدخال المبيعات'!$C:$C,المنتجات!$C$12))</f>
        <v>245</v>
      </c>
      <c r="L12" s="46" t="str">
        <f>IF(المنتجات!$C$12="","",IF(K12&lt;=المنتجات!$E$12,"⚠ أعد الطلب","جيد"))</f>
        <v>جيد</v>
      </c>
      <c r="M12" s="46">
        <f>IF(OR(المنتجات!$C$12="",I12=""),"",RANK(I12,$I$5:$I$34))</f>
        <v>8</v>
      </c>
    </row>
    <row r="13" spans="2:13" x14ac:dyDescent="0.3">
      <c r="B13" s="22" t="str">
        <f>المنتجات!$C$13</f>
        <v>قازوز فرحة 33سل</v>
      </c>
      <c r="C13" s="29">
        <f>IF(المنتجات!$C$13="","",SUMIFS('إدخال المشتريات'!$D:$D,'إدخال المشتريات'!$C:$C,المنتجات!$C$13,'إدخال المشتريات'!$B:$B,"&gt;="&amp;'لوحة القيادة'!$C$4,'إدخال المشتريات'!$B:$B,"&lt;="&amp;'لوحة القيادة'!$E$4))</f>
        <v>35</v>
      </c>
      <c r="D13" s="29">
        <f>IF(المنتجات!$C$13="","",SUMIFS('إدخال المشتريات'!$F:$F,'إدخال المشتريات'!$C:$C,المنتجات!$C$13,'إدخال المشتريات'!$B:$B,"&gt;="&amp;'لوحة القيادة'!$C$4,'إدخال المشتريات'!$B:$B,"&lt;="&amp;'لوحة القيادة'!$E$4))</f>
        <v>7700</v>
      </c>
      <c r="E13" s="39">
        <f>IF(المنتجات!$C$13="","",IFERROR(SUMIFS('إدخال المشتريات'!$F:$F,'إدخال المشتريات'!$C:$C,المنتجات!$C$13)/SUMIFS('إدخال المشتريات'!$D:$D,'إدخال المشتريات'!$C:$C,المنتجات!$C$13),0))</f>
        <v>220</v>
      </c>
      <c r="F13" s="29">
        <f>IF(المنتجات!$C$13="","",SUMIFS('إدخال المبيعات'!$D:$D,'إدخال المبيعات'!$C:$C,المنتجات!$C$13,'إدخال المبيعات'!$B:$B,"&gt;="&amp;'لوحة القيادة'!$C$4,'إدخال المبيعات'!$B:$B,"&lt;="&amp;'لوحة القيادة'!$E$4))</f>
        <v>35</v>
      </c>
      <c r="G13" s="29">
        <f>IF(المنتجات!$C$13="","",SUMIFS('إدخال المبيعات'!$F:$F,'إدخال المبيعات'!$C:$C,المنتجات!$C$13,'إدخال المبيعات'!$B:$B,"&gt;="&amp;'لوحة القيادة'!$C$4,'إدخال المبيعات'!$B:$B,"&lt;="&amp;'لوحة القيادة'!$E$4))</f>
        <v>9100</v>
      </c>
      <c r="H13" s="29">
        <f>IF(المنتجات!$C$13="","",E13*F13)</f>
        <v>7700</v>
      </c>
      <c r="I13" s="40">
        <f>IF(المنتجات!$C$13="","",G13-H13)</f>
        <v>1400</v>
      </c>
      <c r="J13" s="41">
        <f>IF(OR(المنتجات!$C$13="",G13=0),"",I13/G13)</f>
        <v>0.15384615384615385</v>
      </c>
      <c r="K13" s="29">
        <f>IF(المنتجات!$C$13="","",SUMIFS('إدخال المشتريات'!$D:$D,'إدخال المشتريات'!$C:$C,المنتجات!$C$13)-SUMIFS('إدخال المبيعات'!$D:$D,'إدخال المبيعات'!$C:$C,المنتجات!$C$13))</f>
        <v>0</v>
      </c>
      <c r="L13" s="42" t="str">
        <f>IF(المنتجات!$C$13="","",IF(K13&lt;=المنتجات!$E$13,"⚠ أعد الطلب","جيد"))</f>
        <v>⚠ أعد الطلب</v>
      </c>
      <c r="M13" s="42">
        <f>IF(OR(المنتجات!$C$13="",I13=""),"",RANK(I13,$I$5:$I$34))</f>
        <v>9</v>
      </c>
    </row>
    <row r="14" spans="2:13" x14ac:dyDescent="0.3">
      <c r="B14" s="26">
        <f>المنتجات!$C$14</f>
        <v>0</v>
      </c>
      <c r="C14" s="31" t="str">
        <f>IF(المنتجات!$C$14="","",SUMIFS('إدخال المشتريات'!$D:$D,'إدخال المشتريات'!$C:$C,المنتجات!$C$14,'إدخال المشتريات'!$B:$B,"&gt;="&amp;'لوحة القيادة'!$C$4,'إدخال المشتريات'!$B:$B,"&lt;="&amp;'لوحة القيادة'!$E$4))</f>
        <v/>
      </c>
      <c r="D14" s="31" t="str">
        <f>IF(المنتجات!$C$14="","",SUMIFS('إدخال المشتريات'!$F:$F,'إدخال المشتريات'!$C:$C,المنتجات!$C$14,'إدخال المشتريات'!$B:$B,"&gt;="&amp;'لوحة القيادة'!$C$4,'إدخال المشتريات'!$B:$B,"&lt;="&amp;'لوحة القيادة'!$E$4))</f>
        <v/>
      </c>
      <c r="E14" s="43" t="str">
        <f>IF(المنتجات!$C$14="","",IFERROR(SUMIFS('إدخال المشتريات'!$F:$F,'إدخال المشتريات'!$C:$C,المنتجات!$C$14)/SUMIFS('إدخال المشتريات'!$D:$D,'إدخال المشتريات'!$C:$C,المنتجات!$C$14),0))</f>
        <v/>
      </c>
      <c r="F14" s="31" t="str">
        <f>IF(المنتجات!$C$14="","",SUMIFS('إدخال المبيعات'!$D:$D,'إدخال المبيعات'!$C:$C,المنتجات!$C$14,'إدخال المبيعات'!$B:$B,"&gt;="&amp;'لوحة القيادة'!$C$4,'إدخال المبيعات'!$B:$B,"&lt;="&amp;'لوحة القيادة'!$E$4))</f>
        <v/>
      </c>
      <c r="G14" s="31" t="str">
        <f>IF(المنتجات!$C$14="","",SUMIFS('إدخال المبيعات'!$F:$F,'إدخال المبيعات'!$C:$C,المنتجات!$C$14,'إدخال المبيعات'!$B:$B,"&gt;="&amp;'لوحة القيادة'!$C$4,'إدخال المبيعات'!$B:$B,"&lt;="&amp;'لوحة القيادة'!$E$4))</f>
        <v/>
      </c>
      <c r="H14" s="31" t="str">
        <f>IF(المنتجات!$C$14="","",E14*F14)</f>
        <v/>
      </c>
      <c r="I14" s="44" t="str">
        <f>IF(المنتجات!$C$14="","",G14-H14)</f>
        <v/>
      </c>
      <c r="J14" s="45" t="str">
        <f>IF(OR(المنتجات!$C$14="",G14=0),"",I14/G14)</f>
        <v/>
      </c>
      <c r="K14" s="31" t="str">
        <f>IF(المنتجات!$C$14="","",SUMIFS('إدخال المشتريات'!$D:$D,'إدخال المشتريات'!$C:$C,المنتجات!$C$14)-SUMIFS('إدخال المبيعات'!$D:$D,'إدخال المبيعات'!$C:$C,المنتجات!$C$14))</f>
        <v/>
      </c>
      <c r="L14" s="46" t="str">
        <f>IF(المنتجات!$C$14="","",IF(K14&lt;=المنتجات!$E$14,"⚠ أعد الطلب","جيد"))</f>
        <v/>
      </c>
      <c r="M14" s="46" t="str">
        <f>IF(OR(المنتجات!$C$14="",I14=""),"",RANK(I14,$I$5:$I$34))</f>
        <v/>
      </c>
    </row>
    <row r="15" spans="2:13" x14ac:dyDescent="0.3">
      <c r="B15" s="22">
        <f>المنتجات!$C$15</f>
        <v>0</v>
      </c>
      <c r="C15" s="29" t="str">
        <f>IF(المنتجات!$C$15="","",SUMIFS('إدخال المشتريات'!$D:$D,'إدخال المشتريات'!$C:$C,المنتجات!$C$15,'إدخال المشتريات'!$B:$B,"&gt;="&amp;'لوحة القيادة'!$C$4,'إدخال المشتريات'!$B:$B,"&lt;="&amp;'لوحة القيادة'!$E$4))</f>
        <v/>
      </c>
      <c r="D15" s="29" t="str">
        <f>IF(المنتجات!$C$15="","",SUMIFS('إدخال المشتريات'!$F:$F,'إدخال المشتريات'!$C:$C,المنتجات!$C$15,'إدخال المشتريات'!$B:$B,"&gt;="&amp;'لوحة القيادة'!$C$4,'إدخال المشتريات'!$B:$B,"&lt;="&amp;'لوحة القيادة'!$E$4))</f>
        <v/>
      </c>
      <c r="E15" s="39" t="str">
        <f>IF(المنتجات!$C$15="","",IFERROR(SUMIFS('إدخال المشتريات'!$F:$F,'إدخال المشتريات'!$C:$C,المنتجات!$C$15)/SUMIFS('إدخال المشتريات'!$D:$D,'إدخال المشتريات'!$C:$C,المنتجات!$C$15),0))</f>
        <v/>
      </c>
      <c r="F15" s="29" t="str">
        <f>IF(المنتجات!$C$15="","",SUMIFS('إدخال المبيعات'!$D:$D,'إدخال المبيعات'!$C:$C,المنتجات!$C$15,'إدخال المبيعات'!$B:$B,"&gt;="&amp;'لوحة القيادة'!$C$4,'إدخال المبيعات'!$B:$B,"&lt;="&amp;'لوحة القيادة'!$E$4))</f>
        <v/>
      </c>
      <c r="G15" s="29" t="str">
        <f>IF(المنتجات!$C$15="","",SUMIFS('إدخال المبيعات'!$F:$F,'إدخال المبيعات'!$C:$C,المنتجات!$C$15,'إدخال المبيعات'!$B:$B,"&gt;="&amp;'لوحة القيادة'!$C$4,'إدخال المبيعات'!$B:$B,"&lt;="&amp;'لوحة القيادة'!$E$4))</f>
        <v/>
      </c>
      <c r="H15" s="29" t="str">
        <f>IF(المنتجات!$C$15="","",E15*F15)</f>
        <v/>
      </c>
      <c r="I15" s="40" t="str">
        <f>IF(المنتجات!$C$15="","",G15-H15)</f>
        <v/>
      </c>
      <c r="J15" s="41" t="str">
        <f>IF(OR(المنتجات!$C$15="",G15=0),"",I15/G15)</f>
        <v/>
      </c>
      <c r="K15" s="29" t="str">
        <f>IF(المنتجات!$C$15="","",SUMIFS('إدخال المشتريات'!$D:$D,'إدخال المشتريات'!$C:$C,المنتجات!$C$15)-SUMIFS('إدخال المبيعات'!$D:$D,'إدخال المبيعات'!$C:$C,المنتجات!$C$15))</f>
        <v/>
      </c>
      <c r="L15" s="42" t="str">
        <f>IF(المنتجات!$C$15="","",IF(K15&lt;=المنتجات!$E$15,"⚠ أعد الطلب","جيد"))</f>
        <v/>
      </c>
      <c r="M15" s="42" t="str">
        <f>IF(OR(المنتجات!$C$15="",I15=""),"",RANK(I15,$I$5:$I$34))</f>
        <v/>
      </c>
    </row>
    <row r="16" spans="2:13" x14ac:dyDescent="0.3">
      <c r="B16" s="26">
        <f>المنتجات!$C$16</f>
        <v>0</v>
      </c>
      <c r="C16" s="31" t="str">
        <f>IF(المنتجات!$C$16="","",SUMIFS('إدخال المشتريات'!$D:$D,'إدخال المشتريات'!$C:$C,المنتجات!$C$16,'إدخال المشتريات'!$B:$B,"&gt;="&amp;'لوحة القيادة'!$C$4,'إدخال المشتريات'!$B:$B,"&lt;="&amp;'لوحة القيادة'!$E$4))</f>
        <v/>
      </c>
      <c r="D16" s="31" t="str">
        <f>IF(المنتجات!$C$16="","",SUMIFS('إدخال المشتريات'!$F:$F,'إدخال المشتريات'!$C:$C,المنتجات!$C$16,'إدخال المشتريات'!$B:$B,"&gt;="&amp;'لوحة القيادة'!$C$4,'إدخال المشتريات'!$B:$B,"&lt;="&amp;'لوحة القيادة'!$E$4))</f>
        <v/>
      </c>
      <c r="E16" s="43" t="str">
        <f>IF(المنتجات!$C$16="","",IFERROR(SUMIFS('إدخال المشتريات'!$F:$F,'إدخال المشتريات'!$C:$C,المنتجات!$C$16)/SUMIFS('إدخال المشتريات'!$D:$D,'إدخال المشتريات'!$C:$C,المنتجات!$C$16),0))</f>
        <v/>
      </c>
      <c r="F16" s="31" t="str">
        <f>IF(المنتجات!$C$16="","",SUMIFS('إدخال المبيعات'!$D:$D,'إدخال المبيعات'!$C:$C,المنتجات!$C$16,'إدخال المبيعات'!$B:$B,"&gt;="&amp;'لوحة القيادة'!$C$4,'إدخال المبيعات'!$B:$B,"&lt;="&amp;'لوحة القيادة'!$E$4))</f>
        <v/>
      </c>
      <c r="G16" s="31" t="str">
        <f>IF(المنتجات!$C$16="","",SUMIFS('إدخال المبيعات'!$F:$F,'إدخال المبيعات'!$C:$C,المنتجات!$C$16,'إدخال المبيعات'!$B:$B,"&gt;="&amp;'لوحة القيادة'!$C$4,'إدخال المبيعات'!$B:$B,"&lt;="&amp;'لوحة القيادة'!$E$4))</f>
        <v/>
      </c>
      <c r="H16" s="31" t="str">
        <f>IF(المنتجات!$C$16="","",E16*F16)</f>
        <v/>
      </c>
      <c r="I16" s="44" t="str">
        <f>IF(المنتجات!$C$16="","",G16-H16)</f>
        <v/>
      </c>
      <c r="J16" s="45" t="str">
        <f>IF(OR(المنتجات!$C$16="",G16=0),"",I16/G16)</f>
        <v/>
      </c>
      <c r="K16" s="31" t="str">
        <f>IF(المنتجات!$C$16="","",SUMIFS('إدخال المشتريات'!$D:$D,'إدخال المشتريات'!$C:$C,المنتجات!$C$16)-SUMIFS('إدخال المبيعات'!$D:$D,'إدخال المبيعات'!$C:$C,المنتجات!$C$16))</f>
        <v/>
      </c>
      <c r="L16" s="46" t="str">
        <f>IF(المنتجات!$C$16="","",IF(K16&lt;=المنتجات!$E$16,"⚠ أعد الطلب","جيد"))</f>
        <v/>
      </c>
      <c r="M16" s="46" t="str">
        <f>IF(OR(المنتجات!$C$16="",I16=""),"",RANK(I16,$I$5:$I$34))</f>
        <v/>
      </c>
    </row>
    <row r="17" spans="2:13" x14ac:dyDescent="0.3">
      <c r="B17" s="22">
        <f>المنتجات!$C$17</f>
        <v>0</v>
      </c>
      <c r="C17" s="29" t="str">
        <f>IF(المنتجات!$C$17="","",SUMIFS('إدخال المشتريات'!$D:$D,'إدخال المشتريات'!$C:$C,المنتجات!$C$17,'إدخال المشتريات'!$B:$B,"&gt;="&amp;'لوحة القيادة'!$C$4,'إدخال المشتريات'!$B:$B,"&lt;="&amp;'لوحة القيادة'!$E$4))</f>
        <v/>
      </c>
      <c r="D17" s="29" t="str">
        <f>IF(المنتجات!$C$17="","",SUMIFS('إدخال المشتريات'!$F:$F,'إدخال المشتريات'!$C:$C,المنتجات!$C$17,'إدخال المشتريات'!$B:$B,"&gt;="&amp;'لوحة القيادة'!$C$4,'إدخال المشتريات'!$B:$B,"&lt;="&amp;'لوحة القيادة'!$E$4))</f>
        <v/>
      </c>
      <c r="E17" s="39" t="str">
        <f>IF(المنتجات!$C$17="","",IFERROR(SUMIFS('إدخال المشتريات'!$F:$F,'إدخال المشتريات'!$C:$C,المنتجات!$C$17)/SUMIFS('إدخال المشتريات'!$D:$D,'إدخال المشتريات'!$C:$C,المنتجات!$C$17),0))</f>
        <v/>
      </c>
      <c r="F17" s="29" t="str">
        <f>IF(المنتجات!$C$17="","",SUMIFS('إدخال المبيعات'!$D:$D,'إدخال المبيعات'!$C:$C,المنتجات!$C$17,'إدخال المبيعات'!$B:$B,"&gt;="&amp;'لوحة القيادة'!$C$4,'إدخال المبيعات'!$B:$B,"&lt;="&amp;'لوحة القيادة'!$E$4))</f>
        <v/>
      </c>
      <c r="G17" s="29" t="str">
        <f>IF(المنتجات!$C$17="","",SUMIFS('إدخال المبيعات'!$F:$F,'إدخال المبيعات'!$C:$C,المنتجات!$C$17,'إدخال المبيعات'!$B:$B,"&gt;="&amp;'لوحة القيادة'!$C$4,'إدخال المبيعات'!$B:$B,"&lt;="&amp;'لوحة القيادة'!$E$4))</f>
        <v/>
      </c>
      <c r="H17" s="29" t="str">
        <f>IF(المنتجات!$C$17="","",E17*F17)</f>
        <v/>
      </c>
      <c r="I17" s="40" t="str">
        <f>IF(المنتجات!$C$17="","",G17-H17)</f>
        <v/>
      </c>
      <c r="J17" s="41" t="str">
        <f>IF(OR(المنتجات!$C$17="",G17=0),"",I17/G17)</f>
        <v/>
      </c>
      <c r="K17" s="29" t="str">
        <f>IF(المنتجات!$C$17="","",SUMIFS('إدخال المشتريات'!$D:$D,'إدخال المشتريات'!$C:$C,المنتجات!$C$17)-SUMIFS('إدخال المبيعات'!$D:$D,'إدخال المبيعات'!$C:$C,المنتجات!$C$17))</f>
        <v/>
      </c>
      <c r="L17" s="42" t="str">
        <f>IF(المنتجات!$C$17="","",IF(K17&lt;=المنتجات!$E$17,"⚠ أعد الطلب","جيد"))</f>
        <v/>
      </c>
      <c r="M17" s="42" t="str">
        <f>IF(OR(المنتجات!$C$17="",I17=""),"",RANK(I17,$I$5:$I$34))</f>
        <v/>
      </c>
    </row>
    <row r="18" spans="2:13" x14ac:dyDescent="0.3">
      <c r="B18" s="26">
        <f>المنتجات!$C$18</f>
        <v>0</v>
      </c>
      <c r="C18" s="31" t="str">
        <f>IF(المنتجات!$C$18="","",SUMIFS('إدخال المشتريات'!$D:$D,'إدخال المشتريات'!$C:$C,المنتجات!$C$18,'إدخال المشتريات'!$B:$B,"&gt;="&amp;'لوحة القيادة'!$C$4,'إدخال المشتريات'!$B:$B,"&lt;="&amp;'لوحة القيادة'!$E$4))</f>
        <v/>
      </c>
      <c r="D18" s="31" t="str">
        <f>IF(المنتجات!$C$18="","",SUMIFS('إدخال المشتريات'!$F:$F,'إدخال المشتريات'!$C:$C,المنتجات!$C$18,'إدخال المشتريات'!$B:$B,"&gt;="&amp;'لوحة القيادة'!$C$4,'إدخال المشتريات'!$B:$B,"&lt;="&amp;'لوحة القيادة'!$E$4))</f>
        <v/>
      </c>
      <c r="E18" s="43" t="str">
        <f>IF(المنتجات!$C$18="","",IFERROR(SUMIFS('إدخال المشتريات'!$F:$F,'إدخال المشتريات'!$C:$C,المنتجات!$C$18)/SUMIFS('إدخال المشتريات'!$D:$D,'إدخال المشتريات'!$C:$C,المنتجات!$C$18),0))</f>
        <v/>
      </c>
      <c r="F18" s="31" t="str">
        <f>IF(المنتجات!$C$18="","",SUMIFS('إدخال المبيعات'!$D:$D,'إدخال المبيعات'!$C:$C,المنتجات!$C$18,'إدخال المبيعات'!$B:$B,"&gt;="&amp;'لوحة القيادة'!$C$4,'إدخال المبيعات'!$B:$B,"&lt;="&amp;'لوحة القيادة'!$E$4))</f>
        <v/>
      </c>
      <c r="G18" s="31" t="str">
        <f>IF(المنتجات!$C$18="","",SUMIFS('إدخال المبيعات'!$F:$F,'إدخال المبيعات'!$C:$C,المنتجات!$C$18,'إدخال المبيعات'!$B:$B,"&gt;="&amp;'لوحة القيادة'!$C$4,'إدخال المبيعات'!$B:$B,"&lt;="&amp;'لوحة القيادة'!$E$4))</f>
        <v/>
      </c>
      <c r="H18" s="31" t="str">
        <f>IF(المنتجات!$C$18="","",E18*F18)</f>
        <v/>
      </c>
      <c r="I18" s="44" t="str">
        <f>IF(المنتجات!$C$18="","",G18-H18)</f>
        <v/>
      </c>
      <c r="J18" s="45" t="str">
        <f>IF(OR(المنتجات!$C$18="",G18=0),"",I18/G18)</f>
        <v/>
      </c>
      <c r="K18" s="31" t="str">
        <f>IF(المنتجات!$C$18="","",SUMIFS('إدخال المشتريات'!$D:$D,'إدخال المشتريات'!$C:$C,المنتجات!$C$18)-SUMIFS('إدخال المبيعات'!$D:$D,'إدخال المبيعات'!$C:$C,المنتجات!$C$18))</f>
        <v/>
      </c>
      <c r="L18" s="46" t="str">
        <f>IF(المنتجات!$C$18="","",IF(K18&lt;=المنتجات!$E$18,"⚠ أعد الطلب","جيد"))</f>
        <v/>
      </c>
      <c r="M18" s="46" t="str">
        <f>IF(OR(المنتجات!$C$18="",I18=""),"",RANK(I18,$I$5:$I$34))</f>
        <v/>
      </c>
    </row>
    <row r="19" spans="2:13" x14ac:dyDescent="0.3">
      <c r="B19" s="22">
        <f>المنتجات!$C$19</f>
        <v>0</v>
      </c>
      <c r="C19" s="29" t="str">
        <f>IF(المنتجات!$C$19="","",SUMIFS('إدخال المشتريات'!$D:$D,'إدخال المشتريات'!$C:$C,المنتجات!$C$19,'إدخال المشتريات'!$B:$B,"&gt;="&amp;'لوحة القيادة'!$C$4,'إدخال المشتريات'!$B:$B,"&lt;="&amp;'لوحة القيادة'!$E$4))</f>
        <v/>
      </c>
      <c r="D19" s="29" t="str">
        <f>IF(المنتجات!$C$19="","",SUMIFS('إدخال المشتريات'!$F:$F,'إدخال المشتريات'!$C:$C,المنتجات!$C$19,'إدخال المشتريات'!$B:$B,"&gt;="&amp;'لوحة القيادة'!$C$4,'إدخال المشتريات'!$B:$B,"&lt;="&amp;'لوحة القيادة'!$E$4))</f>
        <v/>
      </c>
      <c r="E19" s="39" t="str">
        <f>IF(المنتجات!$C$19="","",IFERROR(SUMIFS('إدخال المشتريات'!$F:$F,'إدخال المشتريات'!$C:$C,المنتجات!$C$19)/SUMIFS('إدخال المشتريات'!$D:$D,'إدخال المشتريات'!$C:$C,المنتجات!$C$19),0))</f>
        <v/>
      </c>
      <c r="F19" s="29" t="str">
        <f>IF(المنتجات!$C$19="","",SUMIFS('إدخال المبيعات'!$D:$D,'إدخال المبيعات'!$C:$C,المنتجات!$C$19,'إدخال المبيعات'!$B:$B,"&gt;="&amp;'لوحة القيادة'!$C$4,'إدخال المبيعات'!$B:$B,"&lt;="&amp;'لوحة القيادة'!$E$4))</f>
        <v/>
      </c>
      <c r="G19" s="29" t="str">
        <f>IF(المنتجات!$C$19="","",SUMIFS('إدخال المبيعات'!$F:$F,'إدخال المبيعات'!$C:$C,المنتجات!$C$19,'إدخال المبيعات'!$B:$B,"&gt;="&amp;'لوحة القيادة'!$C$4,'إدخال المبيعات'!$B:$B,"&lt;="&amp;'لوحة القيادة'!$E$4))</f>
        <v/>
      </c>
      <c r="H19" s="29" t="str">
        <f>IF(المنتجات!$C$19="","",E19*F19)</f>
        <v/>
      </c>
      <c r="I19" s="40" t="str">
        <f>IF(المنتجات!$C$19="","",G19-H19)</f>
        <v/>
      </c>
      <c r="J19" s="41" t="str">
        <f>IF(OR(المنتجات!$C$19="",G19=0),"",I19/G19)</f>
        <v/>
      </c>
      <c r="K19" s="29" t="str">
        <f>IF(المنتجات!$C$19="","",SUMIFS('إدخال المشتريات'!$D:$D,'إدخال المشتريات'!$C:$C,المنتجات!$C$19)-SUMIFS('إدخال المبيعات'!$D:$D,'إدخال المبيعات'!$C:$C,المنتجات!$C$19))</f>
        <v/>
      </c>
      <c r="L19" s="42" t="str">
        <f>IF(المنتجات!$C$19="","",IF(K19&lt;=المنتجات!$E$19,"⚠ أعد الطلب","جيد"))</f>
        <v/>
      </c>
      <c r="M19" s="42" t="str">
        <f>IF(OR(المنتجات!$C$19="",I19=""),"",RANK(I19,$I$5:$I$34))</f>
        <v/>
      </c>
    </row>
    <row r="20" spans="2:13" x14ac:dyDescent="0.3">
      <c r="B20" s="26">
        <f>المنتجات!$C$20</f>
        <v>0</v>
      </c>
      <c r="C20" s="31" t="str">
        <f>IF(المنتجات!$C$20="","",SUMIFS('إدخال المشتريات'!$D:$D,'إدخال المشتريات'!$C:$C,المنتجات!$C$20,'إدخال المشتريات'!$B:$B,"&gt;="&amp;'لوحة القيادة'!$C$4,'إدخال المشتريات'!$B:$B,"&lt;="&amp;'لوحة القيادة'!$E$4))</f>
        <v/>
      </c>
      <c r="D20" s="31" t="str">
        <f>IF(المنتجات!$C$20="","",SUMIFS('إدخال المشتريات'!$F:$F,'إدخال المشتريات'!$C:$C,المنتجات!$C$20,'إدخال المشتريات'!$B:$B,"&gt;="&amp;'لوحة القيادة'!$C$4,'إدخال المشتريات'!$B:$B,"&lt;="&amp;'لوحة القيادة'!$E$4))</f>
        <v/>
      </c>
      <c r="E20" s="43" t="str">
        <f>IF(المنتجات!$C$20="","",IFERROR(SUMIFS('إدخال المشتريات'!$F:$F,'إدخال المشتريات'!$C:$C,المنتجات!$C$20)/SUMIFS('إدخال المشتريات'!$D:$D,'إدخال المشتريات'!$C:$C,المنتجات!$C$20),0))</f>
        <v/>
      </c>
      <c r="F20" s="31" t="str">
        <f>IF(المنتجات!$C$20="","",SUMIFS('إدخال المبيعات'!$D:$D,'إدخال المبيعات'!$C:$C,المنتجات!$C$20,'إدخال المبيعات'!$B:$B,"&gt;="&amp;'لوحة القيادة'!$C$4,'إدخال المبيعات'!$B:$B,"&lt;="&amp;'لوحة القيادة'!$E$4))</f>
        <v/>
      </c>
      <c r="G20" s="31" t="str">
        <f>IF(المنتجات!$C$20="","",SUMIFS('إدخال المبيعات'!$F:$F,'إدخال المبيعات'!$C:$C,المنتجات!$C$20,'إدخال المبيعات'!$B:$B,"&gt;="&amp;'لوحة القيادة'!$C$4,'إدخال المبيعات'!$B:$B,"&lt;="&amp;'لوحة القيادة'!$E$4))</f>
        <v/>
      </c>
      <c r="H20" s="31" t="str">
        <f>IF(المنتجات!$C$20="","",E20*F20)</f>
        <v/>
      </c>
      <c r="I20" s="44" t="str">
        <f>IF(المنتجات!$C$20="","",G20-H20)</f>
        <v/>
      </c>
      <c r="J20" s="45" t="str">
        <f>IF(OR(المنتجات!$C$20="",G20=0),"",I20/G20)</f>
        <v/>
      </c>
      <c r="K20" s="31" t="str">
        <f>IF(المنتجات!$C$20="","",SUMIFS('إدخال المشتريات'!$D:$D,'إدخال المشتريات'!$C:$C,المنتجات!$C$20)-SUMIFS('إدخال المبيعات'!$D:$D,'إدخال المبيعات'!$C:$C,المنتجات!$C$20))</f>
        <v/>
      </c>
      <c r="L20" s="46" t="str">
        <f>IF(المنتجات!$C$20="","",IF(K20&lt;=المنتجات!$E$20,"⚠ أعد الطلب","جيد"))</f>
        <v/>
      </c>
      <c r="M20" s="46" t="str">
        <f>IF(OR(المنتجات!$C$20="",I20=""),"",RANK(I20,$I$5:$I$34))</f>
        <v/>
      </c>
    </row>
    <row r="21" spans="2:13" x14ac:dyDescent="0.3">
      <c r="B21" s="22">
        <f>المنتجات!$C$21</f>
        <v>0</v>
      </c>
      <c r="C21" s="29" t="str">
        <f>IF(المنتجات!$C$21="","",SUMIFS('إدخال المشتريات'!$D:$D,'إدخال المشتريات'!$C:$C,المنتجات!$C$21,'إدخال المشتريات'!$B:$B,"&gt;="&amp;'لوحة القيادة'!$C$4,'إدخال المشتريات'!$B:$B,"&lt;="&amp;'لوحة القيادة'!$E$4))</f>
        <v/>
      </c>
      <c r="D21" s="29" t="str">
        <f>IF(المنتجات!$C$21="","",SUMIFS('إدخال المشتريات'!$F:$F,'إدخال المشتريات'!$C:$C,المنتجات!$C$21,'إدخال المشتريات'!$B:$B,"&gt;="&amp;'لوحة القيادة'!$C$4,'إدخال المشتريات'!$B:$B,"&lt;="&amp;'لوحة القيادة'!$E$4))</f>
        <v/>
      </c>
      <c r="E21" s="39" t="str">
        <f>IF(المنتجات!$C$21="","",IFERROR(SUMIFS('إدخال المشتريات'!$F:$F,'إدخال المشتريات'!$C:$C,المنتجات!$C$21)/SUMIFS('إدخال المشتريات'!$D:$D,'إدخال المشتريات'!$C:$C,المنتجات!$C$21),0))</f>
        <v/>
      </c>
      <c r="F21" s="29" t="str">
        <f>IF(المنتجات!$C$21="","",SUMIFS('إدخال المبيعات'!$D:$D,'إدخال المبيعات'!$C:$C,المنتجات!$C$21,'إدخال المبيعات'!$B:$B,"&gt;="&amp;'لوحة القيادة'!$C$4,'إدخال المبيعات'!$B:$B,"&lt;="&amp;'لوحة القيادة'!$E$4))</f>
        <v/>
      </c>
      <c r="G21" s="29" t="str">
        <f>IF(المنتجات!$C$21="","",SUMIFS('إدخال المبيعات'!$F:$F,'إدخال المبيعات'!$C:$C,المنتجات!$C$21,'إدخال المبيعات'!$B:$B,"&gt;="&amp;'لوحة القيادة'!$C$4,'إدخال المبيعات'!$B:$B,"&lt;="&amp;'لوحة القيادة'!$E$4))</f>
        <v/>
      </c>
      <c r="H21" s="29" t="str">
        <f>IF(المنتجات!$C$21="","",E21*F21)</f>
        <v/>
      </c>
      <c r="I21" s="40" t="str">
        <f>IF(المنتجات!$C$21="","",G21-H21)</f>
        <v/>
      </c>
      <c r="J21" s="41" t="str">
        <f>IF(OR(المنتجات!$C$21="",G21=0),"",I21/G21)</f>
        <v/>
      </c>
      <c r="K21" s="29" t="str">
        <f>IF(المنتجات!$C$21="","",SUMIFS('إدخال المشتريات'!$D:$D,'إدخال المشتريات'!$C:$C,المنتجات!$C$21)-SUMIFS('إدخال المبيعات'!$D:$D,'إدخال المبيعات'!$C:$C,المنتجات!$C$21))</f>
        <v/>
      </c>
      <c r="L21" s="42" t="str">
        <f>IF(المنتجات!$C$21="","",IF(K21&lt;=المنتجات!$E$21,"⚠ أعد الطلب","جيد"))</f>
        <v/>
      </c>
      <c r="M21" s="42" t="str">
        <f>IF(OR(المنتجات!$C$21="",I21=""),"",RANK(I21,$I$5:$I$34))</f>
        <v/>
      </c>
    </row>
    <row r="22" spans="2:13" x14ac:dyDescent="0.3">
      <c r="B22" s="26">
        <f>المنتجات!$C$22</f>
        <v>0</v>
      </c>
      <c r="C22" s="31" t="str">
        <f>IF(المنتجات!$C$22="","",SUMIFS('إدخال المشتريات'!$D:$D,'إدخال المشتريات'!$C:$C,المنتجات!$C$22,'إدخال المشتريات'!$B:$B,"&gt;="&amp;'لوحة القيادة'!$C$4,'إدخال المشتريات'!$B:$B,"&lt;="&amp;'لوحة القيادة'!$E$4))</f>
        <v/>
      </c>
      <c r="D22" s="31" t="str">
        <f>IF(المنتجات!$C$22="","",SUMIFS('إدخال المشتريات'!$F:$F,'إدخال المشتريات'!$C:$C,المنتجات!$C$22,'إدخال المشتريات'!$B:$B,"&gt;="&amp;'لوحة القيادة'!$C$4,'إدخال المشتريات'!$B:$B,"&lt;="&amp;'لوحة القيادة'!$E$4))</f>
        <v/>
      </c>
      <c r="E22" s="43" t="str">
        <f>IF(المنتجات!$C$22="","",IFERROR(SUMIFS('إدخال المشتريات'!$F:$F,'إدخال المشتريات'!$C:$C,المنتجات!$C$22)/SUMIFS('إدخال المشتريات'!$D:$D,'إدخال المشتريات'!$C:$C,المنتجات!$C$22),0))</f>
        <v/>
      </c>
      <c r="F22" s="31" t="str">
        <f>IF(المنتجات!$C$22="","",SUMIFS('إدخال المبيعات'!$D:$D,'إدخال المبيعات'!$C:$C,المنتجات!$C$22,'إدخال المبيعات'!$B:$B,"&gt;="&amp;'لوحة القيادة'!$C$4,'إدخال المبيعات'!$B:$B,"&lt;="&amp;'لوحة القيادة'!$E$4))</f>
        <v/>
      </c>
      <c r="G22" s="31" t="str">
        <f>IF(المنتجات!$C$22="","",SUMIFS('إدخال المبيعات'!$F:$F,'إدخال المبيعات'!$C:$C,المنتجات!$C$22,'إدخال المبيعات'!$B:$B,"&gt;="&amp;'لوحة القيادة'!$C$4,'إدخال المبيعات'!$B:$B,"&lt;="&amp;'لوحة القيادة'!$E$4))</f>
        <v/>
      </c>
      <c r="H22" s="31" t="str">
        <f>IF(المنتجات!$C$22="","",E22*F22)</f>
        <v/>
      </c>
      <c r="I22" s="44" t="str">
        <f>IF(المنتجات!$C$22="","",G22-H22)</f>
        <v/>
      </c>
      <c r="J22" s="45" t="str">
        <f>IF(OR(المنتجات!$C$22="",G22=0),"",I22/G22)</f>
        <v/>
      </c>
      <c r="K22" s="31" t="str">
        <f>IF(المنتجات!$C$22="","",SUMIFS('إدخال المشتريات'!$D:$D,'إدخال المشتريات'!$C:$C,المنتجات!$C$22)-SUMIFS('إدخال المبيعات'!$D:$D,'إدخال المبيعات'!$C:$C,المنتجات!$C$22))</f>
        <v/>
      </c>
      <c r="L22" s="46" t="str">
        <f>IF(المنتجات!$C$22="","",IF(K22&lt;=المنتجات!$E$22,"⚠ أعد الطلب","جيد"))</f>
        <v/>
      </c>
      <c r="M22" s="46" t="str">
        <f>IF(OR(المنتجات!$C$22="",I22=""),"",RANK(I22,$I$5:$I$34))</f>
        <v/>
      </c>
    </row>
    <row r="23" spans="2:13" x14ac:dyDescent="0.3">
      <c r="B23" s="22">
        <f>المنتجات!$C$23</f>
        <v>0</v>
      </c>
      <c r="C23" s="29" t="str">
        <f>IF(المنتجات!$C$23="","",SUMIFS('إدخال المشتريات'!$D:$D,'إدخال المشتريات'!$C:$C,المنتجات!$C$23,'إدخال المشتريات'!$B:$B,"&gt;="&amp;'لوحة القيادة'!$C$4,'إدخال المشتريات'!$B:$B,"&lt;="&amp;'لوحة القيادة'!$E$4))</f>
        <v/>
      </c>
      <c r="D23" s="29" t="str">
        <f>IF(المنتجات!$C$23="","",SUMIFS('إدخال المشتريات'!$F:$F,'إدخال المشتريات'!$C:$C,المنتجات!$C$23,'إدخال المشتريات'!$B:$B,"&gt;="&amp;'لوحة القيادة'!$C$4,'إدخال المشتريات'!$B:$B,"&lt;="&amp;'لوحة القيادة'!$E$4))</f>
        <v/>
      </c>
      <c r="E23" s="39" t="str">
        <f>IF(المنتجات!$C$23="","",IFERROR(SUMIFS('إدخال المشتريات'!$F:$F,'إدخال المشتريات'!$C:$C,المنتجات!$C$23)/SUMIFS('إدخال المشتريات'!$D:$D,'إدخال المشتريات'!$C:$C,المنتجات!$C$23),0))</f>
        <v/>
      </c>
      <c r="F23" s="29" t="str">
        <f>IF(المنتجات!$C$23="","",SUMIFS('إدخال المبيعات'!$D:$D,'إدخال المبيعات'!$C:$C,المنتجات!$C$23,'إدخال المبيعات'!$B:$B,"&gt;="&amp;'لوحة القيادة'!$C$4,'إدخال المبيعات'!$B:$B,"&lt;="&amp;'لوحة القيادة'!$E$4))</f>
        <v/>
      </c>
      <c r="G23" s="29" t="str">
        <f>IF(المنتجات!$C$23="","",SUMIFS('إدخال المبيعات'!$F:$F,'إدخال المبيعات'!$C:$C,المنتجات!$C$23,'إدخال المبيعات'!$B:$B,"&gt;="&amp;'لوحة القيادة'!$C$4,'إدخال المبيعات'!$B:$B,"&lt;="&amp;'لوحة القيادة'!$E$4))</f>
        <v/>
      </c>
      <c r="H23" s="29" t="str">
        <f>IF(المنتجات!$C$23="","",E23*F23)</f>
        <v/>
      </c>
      <c r="I23" s="40" t="str">
        <f>IF(المنتجات!$C$23="","",G23-H23)</f>
        <v/>
      </c>
      <c r="J23" s="41" t="str">
        <f>IF(OR(المنتجات!$C$23="",G23=0),"",I23/G23)</f>
        <v/>
      </c>
      <c r="K23" s="29" t="str">
        <f>IF(المنتجات!$C$23="","",SUMIFS('إدخال المشتريات'!$D:$D,'إدخال المشتريات'!$C:$C,المنتجات!$C$23)-SUMIFS('إدخال المبيعات'!$D:$D,'إدخال المبيعات'!$C:$C,المنتجات!$C$23))</f>
        <v/>
      </c>
      <c r="L23" s="42" t="str">
        <f>IF(المنتجات!$C$23="","",IF(K23&lt;=المنتجات!$E$23,"⚠ أعد الطلب","جيد"))</f>
        <v/>
      </c>
      <c r="M23" s="42" t="str">
        <f>IF(OR(المنتجات!$C$23="",I23=""),"",RANK(I23,$I$5:$I$34))</f>
        <v/>
      </c>
    </row>
    <row r="24" spans="2:13" x14ac:dyDescent="0.3">
      <c r="B24" s="26">
        <f>المنتجات!$C$24</f>
        <v>0</v>
      </c>
      <c r="C24" s="31" t="str">
        <f>IF(المنتجات!$C$24="","",SUMIFS('إدخال المشتريات'!$D:$D,'إدخال المشتريات'!$C:$C,المنتجات!$C$24,'إدخال المشتريات'!$B:$B,"&gt;="&amp;'لوحة القيادة'!$C$4,'إدخال المشتريات'!$B:$B,"&lt;="&amp;'لوحة القيادة'!$E$4))</f>
        <v/>
      </c>
      <c r="D24" s="31" t="str">
        <f>IF(المنتجات!$C$24="","",SUMIFS('إدخال المشتريات'!$F:$F,'إدخال المشتريات'!$C:$C,المنتجات!$C$24,'إدخال المشتريات'!$B:$B,"&gt;="&amp;'لوحة القيادة'!$C$4,'إدخال المشتريات'!$B:$B,"&lt;="&amp;'لوحة القيادة'!$E$4))</f>
        <v/>
      </c>
      <c r="E24" s="43" t="str">
        <f>IF(المنتجات!$C$24="","",IFERROR(SUMIFS('إدخال المشتريات'!$F:$F,'إدخال المشتريات'!$C:$C,المنتجات!$C$24)/SUMIFS('إدخال المشتريات'!$D:$D,'إدخال المشتريات'!$C:$C,المنتجات!$C$24),0))</f>
        <v/>
      </c>
      <c r="F24" s="31" t="str">
        <f>IF(المنتجات!$C$24="","",SUMIFS('إدخال المبيعات'!$D:$D,'إدخال المبيعات'!$C:$C,المنتجات!$C$24,'إدخال المبيعات'!$B:$B,"&gt;="&amp;'لوحة القيادة'!$C$4,'إدخال المبيعات'!$B:$B,"&lt;="&amp;'لوحة القيادة'!$E$4))</f>
        <v/>
      </c>
      <c r="G24" s="31" t="str">
        <f>IF(المنتجات!$C$24="","",SUMIFS('إدخال المبيعات'!$F:$F,'إدخال المبيعات'!$C:$C,المنتجات!$C$24,'إدخال المبيعات'!$B:$B,"&gt;="&amp;'لوحة القيادة'!$C$4,'إدخال المبيعات'!$B:$B,"&lt;="&amp;'لوحة القيادة'!$E$4))</f>
        <v/>
      </c>
      <c r="H24" s="31" t="str">
        <f>IF(المنتجات!$C$24="","",E24*F24)</f>
        <v/>
      </c>
      <c r="I24" s="44" t="str">
        <f>IF(المنتجات!$C$24="","",G24-H24)</f>
        <v/>
      </c>
      <c r="J24" s="45" t="str">
        <f>IF(OR(المنتجات!$C$24="",G24=0),"",I24/G24)</f>
        <v/>
      </c>
      <c r="K24" s="31" t="str">
        <f>IF(المنتجات!$C$24="","",SUMIFS('إدخال المشتريات'!$D:$D,'إدخال المشتريات'!$C:$C,المنتجات!$C$24)-SUMIFS('إدخال المبيعات'!$D:$D,'إدخال المبيعات'!$C:$C,المنتجات!$C$24))</f>
        <v/>
      </c>
      <c r="L24" s="46" t="str">
        <f>IF(المنتجات!$C$24="","",IF(K24&lt;=المنتجات!$E$24,"⚠ أعد الطلب","جيد"))</f>
        <v/>
      </c>
      <c r="M24" s="46" t="str">
        <f>IF(OR(المنتجات!$C$24="",I24=""),"",RANK(I24,$I$5:$I$34))</f>
        <v/>
      </c>
    </row>
    <row r="25" spans="2:13" x14ac:dyDescent="0.3">
      <c r="B25" s="22">
        <f>المنتجات!$C$25</f>
        <v>0</v>
      </c>
      <c r="C25" s="29" t="str">
        <f>IF(المنتجات!$C$25="","",SUMIFS('إدخال المشتريات'!$D:$D,'إدخال المشتريات'!$C:$C,المنتجات!$C$25,'إدخال المشتريات'!$B:$B,"&gt;="&amp;'لوحة القيادة'!$C$4,'إدخال المشتريات'!$B:$B,"&lt;="&amp;'لوحة القيادة'!$E$4))</f>
        <v/>
      </c>
      <c r="D25" s="29" t="str">
        <f>IF(المنتجات!$C$25="","",SUMIFS('إدخال المشتريات'!$F:$F,'إدخال المشتريات'!$C:$C,المنتجات!$C$25,'إدخال المشتريات'!$B:$B,"&gt;="&amp;'لوحة القيادة'!$C$4,'إدخال المشتريات'!$B:$B,"&lt;="&amp;'لوحة القيادة'!$E$4))</f>
        <v/>
      </c>
      <c r="E25" s="39" t="str">
        <f>IF(المنتجات!$C$25="","",IFERROR(SUMIFS('إدخال المشتريات'!$F:$F,'إدخال المشتريات'!$C:$C,المنتجات!$C$25)/SUMIFS('إدخال المشتريات'!$D:$D,'إدخال المشتريات'!$C:$C,المنتجات!$C$25),0))</f>
        <v/>
      </c>
      <c r="F25" s="29" t="str">
        <f>IF(المنتجات!$C$25="","",SUMIFS('إدخال المبيعات'!$D:$D,'إدخال المبيعات'!$C:$C,المنتجات!$C$25,'إدخال المبيعات'!$B:$B,"&gt;="&amp;'لوحة القيادة'!$C$4,'إدخال المبيعات'!$B:$B,"&lt;="&amp;'لوحة القيادة'!$E$4))</f>
        <v/>
      </c>
      <c r="G25" s="29" t="str">
        <f>IF(المنتجات!$C$25="","",SUMIFS('إدخال المبيعات'!$F:$F,'إدخال المبيعات'!$C:$C,المنتجات!$C$25,'إدخال المبيعات'!$B:$B,"&gt;="&amp;'لوحة القيادة'!$C$4,'إدخال المبيعات'!$B:$B,"&lt;="&amp;'لوحة القيادة'!$E$4))</f>
        <v/>
      </c>
      <c r="H25" s="29" t="str">
        <f>IF(المنتجات!$C$25="","",E25*F25)</f>
        <v/>
      </c>
      <c r="I25" s="40" t="str">
        <f>IF(المنتجات!$C$25="","",G25-H25)</f>
        <v/>
      </c>
      <c r="J25" s="41" t="str">
        <f>IF(OR(المنتجات!$C$25="",G25=0),"",I25/G25)</f>
        <v/>
      </c>
      <c r="K25" s="29" t="str">
        <f>IF(المنتجات!$C$25="","",SUMIFS('إدخال المشتريات'!$D:$D,'إدخال المشتريات'!$C:$C,المنتجات!$C$25)-SUMIFS('إدخال المبيعات'!$D:$D,'إدخال المبيعات'!$C:$C,المنتجات!$C$25))</f>
        <v/>
      </c>
      <c r="L25" s="42" t="str">
        <f>IF(المنتجات!$C$25="","",IF(K25&lt;=المنتجات!$E$25,"⚠ أعد الطلب","جيد"))</f>
        <v/>
      </c>
      <c r="M25" s="42" t="str">
        <f>IF(OR(المنتجات!$C$25="",I25=""),"",RANK(I25,$I$5:$I$34))</f>
        <v/>
      </c>
    </row>
    <row r="26" spans="2:13" x14ac:dyDescent="0.3">
      <c r="B26" s="26">
        <f>المنتجات!$C$26</f>
        <v>0</v>
      </c>
      <c r="C26" s="31" t="str">
        <f>IF(المنتجات!$C$26="","",SUMIFS('إدخال المشتريات'!$D:$D,'إدخال المشتريات'!$C:$C,المنتجات!$C$26,'إدخال المشتريات'!$B:$B,"&gt;="&amp;'لوحة القيادة'!$C$4,'إدخال المشتريات'!$B:$B,"&lt;="&amp;'لوحة القيادة'!$E$4))</f>
        <v/>
      </c>
      <c r="D26" s="31" t="str">
        <f>IF(المنتجات!$C$26="","",SUMIFS('إدخال المشتريات'!$F:$F,'إدخال المشتريات'!$C:$C,المنتجات!$C$26,'إدخال المشتريات'!$B:$B,"&gt;="&amp;'لوحة القيادة'!$C$4,'إدخال المشتريات'!$B:$B,"&lt;="&amp;'لوحة القيادة'!$E$4))</f>
        <v/>
      </c>
      <c r="E26" s="43" t="str">
        <f>IF(المنتجات!$C$26="","",IFERROR(SUMIFS('إدخال المشتريات'!$F:$F,'إدخال المشتريات'!$C:$C,المنتجات!$C$26)/SUMIFS('إدخال المشتريات'!$D:$D,'إدخال المشتريات'!$C:$C,المنتجات!$C$26),0))</f>
        <v/>
      </c>
      <c r="F26" s="31" t="str">
        <f>IF(المنتجات!$C$26="","",SUMIFS('إدخال المبيعات'!$D:$D,'إدخال المبيعات'!$C:$C,المنتجات!$C$26,'إدخال المبيعات'!$B:$B,"&gt;="&amp;'لوحة القيادة'!$C$4,'إدخال المبيعات'!$B:$B,"&lt;="&amp;'لوحة القيادة'!$E$4))</f>
        <v/>
      </c>
      <c r="G26" s="31" t="str">
        <f>IF(المنتجات!$C$26="","",SUMIFS('إدخال المبيعات'!$F:$F,'إدخال المبيعات'!$C:$C,المنتجات!$C$26,'إدخال المبيعات'!$B:$B,"&gt;="&amp;'لوحة القيادة'!$C$4,'إدخال المبيعات'!$B:$B,"&lt;="&amp;'لوحة القيادة'!$E$4))</f>
        <v/>
      </c>
      <c r="H26" s="31" t="str">
        <f>IF(المنتجات!$C$26="","",E26*F26)</f>
        <v/>
      </c>
      <c r="I26" s="44" t="str">
        <f>IF(المنتجات!$C$26="","",G26-H26)</f>
        <v/>
      </c>
      <c r="J26" s="45" t="str">
        <f>IF(OR(المنتجات!$C$26="",G26=0),"",I26/G26)</f>
        <v/>
      </c>
      <c r="K26" s="31" t="str">
        <f>IF(المنتجات!$C$26="","",SUMIFS('إدخال المشتريات'!$D:$D,'إدخال المشتريات'!$C:$C,المنتجات!$C$26)-SUMIFS('إدخال المبيعات'!$D:$D,'إدخال المبيعات'!$C:$C,المنتجات!$C$26))</f>
        <v/>
      </c>
      <c r="L26" s="46" t="str">
        <f>IF(المنتجات!$C$26="","",IF(K26&lt;=المنتجات!$E$26,"⚠ أعد الطلب","جيد"))</f>
        <v/>
      </c>
      <c r="M26" s="46" t="str">
        <f>IF(OR(المنتجات!$C$26="",I26=""),"",RANK(I26,$I$5:$I$34))</f>
        <v/>
      </c>
    </row>
    <row r="27" spans="2:13" x14ac:dyDescent="0.3">
      <c r="B27" s="22">
        <f>المنتجات!$C$27</f>
        <v>0</v>
      </c>
      <c r="C27" s="29" t="str">
        <f>IF(المنتجات!$C$27="","",SUMIFS('إدخال المشتريات'!$D:$D,'إدخال المشتريات'!$C:$C,المنتجات!$C$27,'إدخال المشتريات'!$B:$B,"&gt;="&amp;'لوحة القيادة'!$C$4,'إدخال المشتريات'!$B:$B,"&lt;="&amp;'لوحة القيادة'!$E$4))</f>
        <v/>
      </c>
      <c r="D27" s="29" t="str">
        <f>IF(المنتجات!$C$27="","",SUMIFS('إدخال المشتريات'!$F:$F,'إدخال المشتريات'!$C:$C,المنتجات!$C$27,'إدخال المشتريات'!$B:$B,"&gt;="&amp;'لوحة القيادة'!$C$4,'إدخال المشتريات'!$B:$B,"&lt;="&amp;'لوحة القيادة'!$E$4))</f>
        <v/>
      </c>
      <c r="E27" s="39" t="str">
        <f>IF(المنتجات!$C$27="","",IFERROR(SUMIFS('إدخال المشتريات'!$F:$F,'إدخال المشتريات'!$C:$C,المنتجات!$C$27)/SUMIFS('إدخال المشتريات'!$D:$D,'إدخال المشتريات'!$C:$C,المنتجات!$C$27),0))</f>
        <v/>
      </c>
      <c r="F27" s="29" t="str">
        <f>IF(المنتجات!$C$27="","",SUMIFS('إدخال المبيعات'!$D:$D,'إدخال المبيعات'!$C:$C,المنتجات!$C$27,'إدخال المبيعات'!$B:$B,"&gt;="&amp;'لوحة القيادة'!$C$4,'إدخال المبيعات'!$B:$B,"&lt;="&amp;'لوحة القيادة'!$E$4))</f>
        <v/>
      </c>
      <c r="G27" s="29" t="str">
        <f>IF(المنتجات!$C$27="","",SUMIFS('إدخال المبيعات'!$F:$F,'إدخال المبيعات'!$C:$C,المنتجات!$C$27,'إدخال المبيعات'!$B:$B,"&gt;="&amp;'لوحة القيادة'!$C$4,'إدخال المبيعات'!$B:$B,"&lt;="&amp;'لوحة القيادة'!$E$4))</f>
        <v/>
      </c>
      <c r="H27" s="29" t="str">
        <f>IF(المنتجات!$C$27="","",E27*F27)</f>
        <v/>
      </c>
      <c r="I27" s="40" t="str">
        <f>IF(المنتجات!$C$27="","",G27-H27)</f>
        <v/>
      </c>
      <c r="J27" s="41" t="str">
        <f>IF(OR(المنتجات!$C$27="",G27=0),"",I27/G27)</f>
        <v/>
      </c>
      <c r="K27" s="29" t="str">
        <f>IF(المنتجات!$C$27="","",SUMIFS('إدخال المشتريات'!$D:$D,'إدخال المشتريات'!$C:$C,المنتجات!$C$27)-SUMIFS('إدخال المبيعات'!$D:$D,'إدخال المبيعات'!$C:$C,المنتجات!$C$27))</f>
        <v/>
      </c>
      <c r="L27" s="42" t="str">
        <f>IF(المنتجات!$C$27="","",IF(K27&lt;=المنتجات!$E$27,"⚠ أعد الطلب","جيد"))</f>
        <v/>
      </c>
      <c r="M27" s="42" t="str">
        <f>IF(OR(المنتجات!$C$27="",I27=""),"",RANK(I27,$I$5:$I$34))</f>
        <v/>
      </c>
    </row>
    <row r="28" spans="2:13" x14ac:dyDescent="0.3">
      <c r="B28" s="26">
        <f>المنتجات!$C$28</f>
        <v>0</v>
      </c>
      <c r="C28" s="31" t="str">
        <f>IF(المنتجات!$C$28="","",SUMIFS('إدخال المشتريات'!$D:$D,'إدخال المشتريات'!$C:$C,المنتجات!$C$28,'إدخال المشتريات'!$B:$B,"&gt;="&amp;'لوحة القيادة'!$C$4,'إدخال المشتريات'!$B:$B,"&lt;="&amp;'لوحة القيادة'!$E$4))</f>
        <v/>
      </c>
      <c r="D28" s="31" t="str">
        <f>IF(المنتجات!$C$28="","",SUMIFS('إدخال المشتريات'!$F:$F,'إدخال المشتريات'!$C:$C,المنتجات!$C$28,'إدخال المشتريات'!$B:$B,"&gt;="&amp;'لوحة القيادة'!$C$4,'إدخال المشتريات'!$B:$B,"&lt;="&amp;'لوحة القيادة'!$E$4))</f>
        <v/>
      </c>
      <c r="E28" s="43" t="str">
        <f>IF(المنتجات!$C$28="","",IFERROR(SUMIFS('إدخال المشتريات'!$F:$F,'إدخال المشتريات'!$C:$C,المنتجات!$C$28)/SUMIFS('إدخال المشتريات'!$D:$D,'إدخال المشتريات'!$C:$C,المنتجات!$C$28),0))</f>
        <v/>
      </c>
      <c r="F28" s="31" t="str">
        <f>IF(المنتجات!$C$28="","",SUMIFS('إدخال المبيعات'!$D:$D,'إدخال المبيعات'!$C:$C,المنتجات!$C$28,'إدخال المبيعات'!$B:$B,"&gt;="&amp;'لوحة القيادة'!$C$4,'إدخال المبيعات'!$B:$B,"&lt;="&amp;'لوحة القيادة'!$E$4))</f>
        <v/>
      </c>
      <c r="G28" s="31" t="str">
        <f>IF(المنتجات!$C$28="","",SUMIFS('إدخال المبيعات'!$F:$F,'إدخال المبيعات'!$C:$C,المنتجات!$C$28,'إدخال المبيعات'!$B:$B,"&gt;="&amp;'لوحة القيادة'!$C$4,'إدخال المبيعات'!$B:$B,"&lt;="&amp;'لوحة القيادة'!$E$4))</f>
        <v/>
      </c>
      <c r="H28" s="31" t="str">
        <f>IF(المنتجات!$C$28="","",E28*F28)</f>
        <v/>
      </c>
      <c r="I28" s="44" t="str">
        <f>IF(المنتجات!$C$28="","",G28-H28)</f>
        <v/>
      </c>
      <c r="J28" s="45" t="str">
        <f>IF(OR(المنتجات!$C$28="",G28=0),"",I28/G28)</f>
        <v/>
      </c>
      <c r="K28" s="31" t="str">
        <f>IF(المنتجات!$C$28="","",SUMIFS('إدخال المشتريات'!$D:$D,'إدخال المشتريات'!$C:$C,المنتجات!$C$28)-SUMIFS('إدخال المبيعات'!$D:$D,'إدخال المبيعات'!$C:$C,المنتجات!$C$28))</f>
        <v/>
      </c>
      <c r="L28" s="46" t="str">
        <f>IF(المنتجات!$C$28="","",IF(K28&lt;=المنتجات!$E$28,"⚠ أعد الطلب","جيد"))</f>
        <v/>
      </c>
      <c r="M28" s="46" t="str">
        <f>IF(OR(المنتجات!$C$28="",I28=""),"",RANK(I28,$I$5:$I$34))</f>
        <v/>
      </c>
    </row>
    <row r="29" spans="2:13" x14ac:dyDescent="0.3">
      <c r="B29" s="22">
        <f>المنتجات!$C$29</f>
        <v>0</v>
      </c>
      <c r="C29" s="29" t="str">
        <f>IF(المنتجات!$C$29="","",SUMIFS('إدخال المشتريات'!$D:$D,'إدخال المشتريات'!$C:$C,المنتجات!$C$29,'إدخال المشتريات'!$B:$B,"&gt;="&amp;'لوحة القيادة'!$C$4,'إدخال المشتريات'!$B:$B,"&lt;="&amp;'لوحة القيادة'!$E$4))</f>
        <v/>
      </c>
      <c r="D29" s="29" t="str">
        <f>IF(المنتجات!$C$29="","",SUMIFS('إدخال المشتريات'!$F:$F,'إدخال المشتريات'!$C:$C,المنتجات!$C$29,'إدخال المشتريات'!$B:$B,"&gt;="&amp;'لوحة القيادة'!$C$4,'إدخال المشتريات'!$B:$B,"&lt;="&amp;'لوحة القيادة'!$E$4))</f>
        <v/>
      </c>
      <c r="E29" s="39" t="str">
        <f>IF(المنتجات!$C$29="","",IFERROR(SUMIFS('إدخال المشتريات'!$F:$F,'إدخال المشتريات'!$C:$C,المنتجات!$C$29)/SUMIFS('إدخال المشتريات'!$D:$D,'إدخال المشتريات'!$C:$C,المنتجات!$C$29),0))</f>
        <v/>
      </c>
      <c r="F29" s="29" t="str">
        <f>IF(المنتجات!$C$29="","",SUMIFS('إدخال المبيعات'!$D:$D,'إدخال المبيعات'!$C:$C,المنتجات!$C$29,'إدخال المبيعات'!$B:$B,"&gt;="&amp;'لوحة القيادة'!$C$4,'إدخال المبيعات'!$B:$B,"&lt;="&amp;'لوحة القيادة'!$E$4))</f>
        <v/>
      </c>
      <c r="G29" s="29" t="str">
        <f>IF(المنتجات!$C$29="","",SUMIFS('إدخال المبيعات'!$F:$F,'إدخال المبيعات'!$C:$C,المنتجات!$C$29,'إدخال المبيعات'!$B:$B,"&gt;="&amp;'لوحة القيادة'!$C$4,'إدخال المبيعات'!$B:$B,"&lt;="&amp;'لوحة القيادة'!$E$4))</f>
        <v/>
      </c>
      <c r="H29" s="29" t="str">
        <f>IF(المنتجات!$C$29="","",E29*F29)</f>
        <v/>
      </c>
      <c r="I29" s="40" t="str">
        <f>IF(المنتجات!$C$29="","",G29-H29)</f>
        <v/>
      </c>
      <c r="J29" s="41" t="str">
        <f>IF(OR(المنتجات!$C$29="",G29=0),"",I29/G29)</f>
        <v/>
      </c>
      <c r="K29" s="29" t="str">
        <f>IF(المنتجات!$C$29="","",SUMIFS('إدخال المشتريات'!$D:$D,'إدخال المشتريات'!$C:$C,المنتجات!$C$29)-SUMIFS('إدخال المبيعات'!$D:$D,'إدخال المبيعات'!$C:$C,المنتجات!$C$29))</f>
        <v/>
      </c>
      <c r="L29" s="42" t="str">
        <f>IF(المنتجات!$C$29="","",IF(K29&lt;=المنتجات!$E$29,"⚠ أعد الطلب","جيد"))</f>
        <v/>
      </c>
      <c r="M29" s="42" t="str">
        <f>IF(OR(المنتجات!$C$29="",I29=""),"",RANK(I29,$I$5:$I$34))</f>
        <v/>
      </c>
    </row>
    <row r="30" spans="2:13" x14ac:dyDescent="0.3">
      <c r="B30" s="26">
        <f>المنتجات!$C$30</f>
        <v>0</v>
      </c>
      <c r="C30" s="31" t="str">
        <f>IF(المنتجات!$C$30="","",SUMIFS('إدخال المشتريات'!$D:$D,'إدخال المشتريات'!$C:$C,المنتجات!$C$30,'إدخال المشتريات'!$B:$B,"&gt;="&amp;'لوحة القيادة'!$C$4,'إدخال المشتريات'!$B:$B,"&lt;="&amp;'لوحة القيادة'!$E$4))</f>
        <v/>
      </c>
      <c r="D30" s="31" t="str">
        <f>IF(المنتجات!$C$30="","",SUMIFS('إدخال المشتريات'!$F:$F,'إدخال المشتريات'!$C:$C,المنتجات!$C$30,'إدخال المشتريات'!$B:$B,"&gt;="&amp;'لوحة القيادة'!$C$4,'إدخال المشتريات'!$B:$B,"&lt;="&amp;'لوحة القيادة'!$E$4))</f>
        <v/>
      </c>
      <c r="E30" s="43" t="str">
        <f>IF(المنتجات!$C$30="","",IFERROR(SUMIFS('إدخال المشتريات'!$F:$F,'إدخال المشتريات'!$C:$C,المنتجات!$C$30)/SUMIFS('إدخال المشتريات'!$D:$D,'إدخال المشتريات'!$C:$C,المنتجات!$C$30),0))</f>
        <v/>
      </c>
      <c r="F30" s="31" t="str">
        <f>IF(المنتجات!$C$30="","",SUMIFS('إدخال المبيعات'!$D:$D,'إدخال المبيعات'!$C:$C,المنتجات!$C$30,'إدخال المبيعات'!$B:$B,"&gt;="&amp;'لوحة القيادة'!$C$4,'إدخال المبيعات'!$B:$B,"&lt;="&amp;'لوحة القيادة'!$E$4))</f>
        <v/>
      </c>
      <c r="G30" s="31" t="str">
        <f>IF(المنتجات!$C$30="","",SUMIFS('إدخال المبيعات'!$F:$F,'إدخال المبيعات'!$C:$C,المنتجات!$C$30,'إدخال المبيعات'!$B:$B,"&gt;="&amp;'لوحة القيادة'!$C$4,'إدخال المبيعات'!$B:$B,"&lt;="&amp;'لوحة القيادة'!$E$4))</f>
        <v/>
      </c>
      <c r="H30" s="31" t="str">
        <f>IF(المنتجات!$C$30="","",E30*F30)</f>
        <v/>
      </c>
      <c r="I30" s="44" t="str">
        <f>IF(المنتجات!$C$30="","",G30-H30)</f>
        <v/>
      </c>
      <c r="J30" s="45" t="str">
        <f>IF(OR(المنتجات!$C$30="",G30=0),"",I30/G30)</f>
        <v/>
      </c>
      <c r="K30" s="31" t="str">
        <f>IF(المنتجات!$C$30="","",SUMIFS('إدخال المشتريات'!$D:$D,'إدخال المشتريات'!$C:$C,المنتجات!$C$30)-SUMIFS('إدخال المبيعات'!$D:$D,'إدخال المبيعات'!$C:$C,المنتجات!$C$30))</f>
        <v/>
      </c>
      <c r="L30" s="46" t="str">
        <f>IF(المنتجات!$C$30="","",IF(K30&lt;=المنتجات!$E$30,"⚠ أعد الطلب","جيد"))</f>
        <v/>
      </c>
      <c r="M30" s="46" t="str">
        <f>IF(OR(المنتجات!$C$30="",I30=""),"",RANK(I30,$I$5:$I$34))</f>
        <v/>
      </c>
    </row>
    <row r="31" spans="2:13" x14ac:dyDescent="0.3">
      <c r="B31" s="22">
        <f>المنتجات!$C$31</f>
        <v>0</v>
      </c>
      <c r="C31" s="29" t="str">
        <f>IF(المنتجات!$C$31="","",SUMIFS('إدخال المشتريات'!$D:$D,'إدخال المشتريات'!$C:$C,المنتجات!$C$31,'إدخال المشتريات'!$B:$B,"&gt;="&amp;'لوحة القيادة'!$C$4,'إدخال المشتريات'!$B:$B,"&lt;="&amp;'لوحة القيادة'!$E$4))</f>
        <v/>
      </c>
      <c r="D31" s="29" t="str">
        <f>IF(المنتجات!$C$31="","",SUMIFS('إدخال المشتريات'!$F:$F,'إدخال المشتريات'!$C:$C,المنتجات!$C$31,'إدخال المشتريات'!$B:$B,"&gt;="&amp;'لوحة القيادة'!$C$4,'إدخال المشتريات'!$B:$B,"&lt;="&amp;'لوحة القيادة'!$E$4))</f>
        <v/>
      </c>
      <c r="E31" s="39" t="str">
        <f>IF(المنتجات!$C$31="","",IFERROR(SUMIFS('إدخال المشتريات'!$F:$F,'إدخال المشتريات'!$C:$C,المنتجات!$C$31)/SUMIFS('إدخال المشتريات'!$D:$D,'إدخال المشتريات'!$C:$C,المنتجات!$C$31),0))</f>
        <v/>
      </c>
      <c r="F31" s="29" t="str">
        <f>IF(المنتجات!$C$31="","",SUMIFS('إدخال المبيعات'!$D:$D,'إدخال المبيعات'!$C:$C,المنتجات!$C$31,'إدخال المبيعات'!$B:$B,"&gt;="&amp;'لوحة القيادة'!$C$4,'إدخال المبيعات'!$B:$B,"&lt;="&amp;'لوحة القيادة'!$E$4))</f>
        <v/>
      </c>
      <c r="G31" s="29" t="str">
        <f>IF(المنتجات!$C$31="","",SUMIFS('إدخال المبيعات'!$F:$F,'إدخال المبيعات'!$C:$C,المنتجات!$C$31,'إدخال المبيعات'!$B:$B,"&gt;="&amp;'لوحة القيادة'!$C$4,'إدخال المبيعات'!$B:$B,"&lt;="&amp;'لوحة القيادة'!$E$4))</f>
        <v/>
      </c>
      <c r="H31" s="29" t="str">
        <f>IF(المنتجات!$C$31="","",E31*F31)</f>
        <v/>
      </c>
      <c r="I31" s="40" t="str">
        <f>IF(المنتجات!$C$31="","",G31-H31)</f>
        <v/>
      </c>
      <c r="J31" s="41" t="str">
        <f>IF(OR(المنتجات!$C$31="",G31=0),"",I31/G31)</f>
        <v/>
      </c>
      <c r="K31" s="29" t="str">
        <f>IF(المنتجات!$C$31="","",SUMIFS('إدخال المشتريات'!$D:$D,'إدخال المشتريات'!$C:$C,المنتجات!$C$31)-SUMIFS('إدخال المبيعات'!$D:$D,'إدخال المبيعات'!$C:$C,المنتجات!$C$31))</f>
        <v/>
      </c>
      <c r="L31" s="42" t="str">
        <f>IF(المنتجات!$C$31="","",IF(K31&lt;=المنتجات!$E$31,"⚠ أعد الطلب","جيد"))</f>
        <v/>
      </c>
      <c r="M31" s="42" t="str">
        <f>IF(OR(المنتجات!$C$31="",I31=""),"",RANK(I31,$I$5:$I$34))</f>
        <v/>
      </c>
    </row>
    <row r="32" spans="2:13" x14ac:dyDescent="0.3">
      <c r="B32" s="26">
        <f>المنتجات!$C$32</f>
        <v>0</v>
      </c>
      <c r="C32" s="31" t="str">
        <f>IF(المنتجات!$C$32="","",SUMIFS('إدخال المشتريات'!$D:$D,'إدخال المشتريات'!$C:$C,المنتجات!$C$32,'إدخال المشتريات'!$B:$B,"&gt;="&amp;'لوحة القيادة'!$C$4,'إدخال المشتريات'!$B:$B,"&lt;="&amp;'لوحة القيادة'!$E$4))</f>
        <v/>
      </c>
      <c r="D32" s="31" t="str">
        <f>IF(المنتجات!$C$32="","",SUMIFS('إدخال المشتريات'!$F:$F,'إدخال المشتريات'!$C:$C,المنتجات!$C$32,'إدخال المشتريات'!$B:$B,"&gt;="&amp;'لوحة القيادة'!$C$4,'إدخال المشتريات'!$B:$B,"&lt;="&amp;'لوحة القيادة'!$E$4))</f>
        <v/>
      </c>
      <c r="E32" s="43" t="str">
        <f>IF(المنتجات!$C$32="","",IFERROR(SUMIFS('إدخال المشتريات'!$F:$F,'إدخال المشتريات'!$C:$C,المنتجات!$C$32)/SUMIFS('إدخال المشتريات'!$D:$D,'إدخال المشتريات'!$C:$C,المنتجات!$C$32),0))</f>
        <v/>
      </c>
      <c r="F32" s="31" t="str">
        <f>IF(المنتجات!$C$32="","",SUMIFS('إدخال المبيعات'!$D:$D,'إدخال المبيعات'!$C:$C,المنتجات!$C$32,'إدخال المبيعات'!$B:$B,"&gt;="&amp;'لوحة القيادة'!$C$4,'إدخال المبيعات'!$B:$B,"&lt;="&amp;'لوحة القيادة'!$E$4))</f>
        <v/>
      </c>
      <c r="G32" s="31" t="str">
        <f>IF(المنتجات!$C$32="","",SUMIFS('إدخال المبيعات'!$F:$F,'إدخال المبيعات'!$C:$C,المنتجات!$C$32,'إدخال المبيعات'!$B:$B,"&gt;="&amp;'لوحة القيادة'!$C$4,'إدخال المبيعات'!$B:$B,"&lt;="&amp;'لوحة القيادة'!$E$4))</f>
        <v/>
      </c>
      <c r="H32" s="31" t="str">
        <f>IF(المنتجات!$C$32="","",E32*F32)</f>
        <v/>
      </c>
      <c r="I32" s="44" t="str">
        <f>IF(المنتجات!$C$32="","",G32-H32)</f>
        <v/>
      </c>
      <c r="J32" s="45" t="str">
        <f>IF(OR(المنتجات!$C$32="",G32=0),"",I32/G32)</f>
        <v/>
      </c>
      <c r="K32" s="31" t="str">
        <f>IF(المنتجات!$C$32="","",SUMIFS('إدخال المشتريات'!$D:$D,'إدخال المشتريات'!$C:$C,المنتجات!$C$32)-SUMIFS('إدخال المبيعات'!$D:$D,'إدخال المبيعات'!$C:$C,المنتجات!$C$32))</f>
        <v/>
      </c>
      <c r="L32" s="46" t="str">
        <f>IF(المنتجات!$C$32="","",IF(K32&lt;=المنتجات!$E$32,"⚠ أعد الطلب","جيد"))</f>
        <v/>
      </c>
      <c r="M32" s="46" t="str">
        <f>IF(OR(المنتجات!$C$32="",I32=""),"",RANK(I32,$I$5:$I$34))</f>
        <v/>
      </c>
    </row>
    <row r="33" spans="2:13" x14ac:dyDescent="0.3">
      <c r="B33" s="22">
        <f>المنتجات!$C$33</f>
        <v>0</v>
      </c>
      <c r="C33" s="29" t="str">
        <f>IF(المنتجات!$C$33="","",SUMIFS('إدخال المشتريات'!$D:$D,'إدخال المشتريات'!$C:$C,المنتجات!$C$33,'إدخال المشتريات'!$B:$B,"&gt;="&amp;'لوحة القيادة'!$C$4,'إدخال المشتريات'!$B:$B,"&lt;="&amp;'لوحة القيادة'!$E$4))</f>
        <v/>
      </c>
      <c r="D33" s="29" t="str">
        <f>IF(المنتجات!$C$33="","",SUMIFS('إدخال المشتريات'!$F:$F,'إدخال المشتريات'!$C:$C,المنتجات!$C$33,'إدخال المشتريات'!$B:$B,"&gt;="&amp;'لوحة القيادة'!$C$4,'إدخال المشتريات'!$B:$B,"&lt;="&amp;'لوحة القيادة'!$E$4))</f>
        <v/>
      </c>
      <c r="E33" s="39" t="str">
        <f>IF(المنتجات!$C$33="","",IFERROR(SUMIFS('إدخال المشتريات'!$F:$F,'إدخال المشتريات'!$C:$C,المنتجات!$C$33)/SUMIFS('إدخال المشتريات'!$D:$D,'إدخال المشتريات'!$C:$C,المنتجات!$C$33),0))</f>
        <v/>
      </c>
      <c r="F33" s="29" t="str">
        <f>IF(المنتجات!$C$33="","",SUMIFS('إدخال المبيعات'!$D:$D,'إدخال المبيعات'!$C:$C,المنتجات!$C$33,'إدخال المبيعات'!$B:$B,"&gt;="&amp;'لوحة القيادة'!$C$4,'إدخال المبيعات'!$B:$B,"&lt;="&amp;'لوحة القيادة'!$E$4))</f>
        <v/>
      </c>
      <c r="G33" s="29" t="str">
        <f>IF(المنتجات!$C$33="","",SUMIFS('إدخال المبيعات'!$F:$F,'إدخال المبيعات'!$C:$C,المنتجات!$C$33,'إدخال المبيعات'!$B:$B,"&gt;="&amp;'لوحة القيادة'!$C$4,'إدخال المبيعات'!$B:$B,"&lt;="&amp;'لوحة القيادة'!$E$4))</f>
        <v/>
      </c>
      <c r="H33" s="29" t="str">
        <f>IF(المنتجات!$C$33="","",E33*F33)</f>
        <v/>
      </c>
      <c r="I33" s="40" t="str">
        <f>IF(المنتجات!$C$33="","",G33-H33)</f>
        <v/>
      </c>
      <c r="J33" s="41" t="str">
        <f>IF(OR(المنتجات!$C$33="",G33=0),"",I33/G33)</f>
        <v/>
      </c>
      <c r="K33" s="29" t="str">
        <f>IF(المنتجات!$C$33="","",SUMIFS('إدخال المشتريات'!$D:$D,'إدخال المشتريات'!$C:$C,المنتجات!$C$33)-SUMIFS('إدخال المبيعات'!$D:$D,'إدخال المبيعات'!$C:$C,المنتجات!$C$33))</f>
        <v/>
      </c>
      <c r="L33" s="42" t="str">
        <f>IF(المنتجات!$C$33="","",IF(K33&lt;=المنتجات!$E$33,"⚠ أعد الطلب","جيد"))</f>
        <v/>
      </c>
      <c r="M33" s="42" t="str">
        <f>IF(OR(المنتجات!$C$33="",I33=""),"",RANK(I33,$I$5:$I$34))</f>
        <v/>
      </c>
    </row>
    <row r="34" spans="2:13" x14ac:dyDescent="0.3">
      <c r="B34" s="26">
        <f>المنتجات!$C$34</f>
        <v>0</v>
      </c>
      <c r="C34" s="31" t="str">
        <f>IF(المنتجات!$C$34="","",SUMIFS('إدخال المشتريات'!$D:$D,'إدخال المشتريات'!$C:$C,المنتجات!$C$34,'إدخال المشتريات'!$B:$B,"&gt;="&amp;'لوحة القيادة'!$C$4,'إدخال المشتريات'!$B:$B,"&lt;="&amp;'لوحة القيادة'!$E$4))</f>
        <v/>
      </c>
      <c r="D34" s="31" t="str">
        <f>IF(المنتجات!$C$34="","",SUMIFS('إدخال المشتريات'!$F:$F,'إدخال المشتريات'!$C:$C,المنتجات!$C$34,'إدخال المشتريات'!$B:$B,"&gt;="&amp;'لوحة القيادة'!$C$4,'إدخال المشتريات'!$B:$B,"&lt;="&amp;'لوحة القيادة'!$E$4))</f>
        <v/>
      </c>
      <c r="E34" s="43" t="str">
        <f>IF(المنتجات!$C$34="","",IFERROR(SUMIFS('إدخال المشتريات'!$F:$F,'إدخال المشتريات'!$C:$C,المنتجات!$C$34)/SUMIFS('إدخال المشتريات'!$D:$D,'إدخال المشتريات'!$C:$C,المنتجات!$C$34),0))</f>
        <v/>
      </c>
      <c r="F34" s="31" t="str">
        <f>IF(المنتجات!$C$34="","",SUMIFS('إدخال المبيعات'!$D:$D,'إدخال المبيعات'!$C:$C,المنتجات!$C$34,'إدخال المبيعات'!$B:$B,"&gt;="&amp;'لوحة القيادة'!$C$4,'إدخال المبيعات'!$B:$B,"&lt;="&amp;'لوحة القيادة'!$E$4))</f>
        <v/>
      </c>
      <c r="G34" s="31" t="str">
        <f>IF(المنتجات!$C$34="","",SUMIFS('إدخال المبيعات'!$F:$F,'إدخال المبيعات'!$C:$C,المنتجات!$C$34,'إدخال المبيعات'!$B:$B,"&gt;="&amp;'لوحة القيادة'!$C$4,'إدخال المبيعات'!$B:$B,"&lt;="&amp;'لوحة القيادة'!$E$4))</f>
        <v/>
      </c>
      <c r="H34" s="31" t="str">
        <f>IF(المنتجات!$C$34="","",E34*F34)</f>
        <v/>
      </c>
      <c r="I34" s="44" t="str">
        <f>IF(المنتجات!$C$34="","",G34-H34)</f>
        <v/>
      </c>
      <c r="J34" s="45" t="str">
        <f>IF(OR(المنتجات!$C$34="",G34=0),"",I34/G34)</f>
        <v/>
      </c>
      <c r="K34" s="31" t="str">
        <f>IF(المنتجات!$C$34="","",SUMIFS('إدخال المشتريات'!$D:$D,'إدخال المشتريات'!$C:$C,المنتجات!$C$34)-SUMIFS('إدخال المبيعات'!$D:$D,'إدخال المبيعات'!$C:$C,المنتجات!$C$34))</f>
        <v/>
      </c>
      <c r="L34" s="46" t="str">
        <f>IF(المنتجات!$C$34="","",IF(K34&lt;=المنتجات!$E$34,"⚠ أعد الطلب","جيد"))</f>
        <v/>
      </c>
      <c r="M34" s="46" t="str">
        <f>IF(OR(المنتجات!$C$34="",I34=""),"",RANK(I34,$I$5:$I$34))</f>
        <v/>
      </c>
    </row>
    <row r="35" spans="2:13" x14ac:dyDescent="0.3">
      <c r="B35" s="47" t="s">
        <v>71</v>
      </c>
      <c r="C35" s="48">
        <f>SUM(C5:C34)</f>
        <v>7283</v>
      </c>
      <c r="D35" s="48">
        <f>SUM(D5:D34)</f>
        <v>3185390</v>
      </c>
      <c r="E35" s="47" t="s">
        <v>72</v>
      </c>
      <c r="F35" s="48">
        <f>SUM(F5:F34)</f>
        <v>5149</v>
      </c>
      <c r="G35" s="48">
        <f>SUM(G5:G34)</f>
        <v>2574553.33</v>
      </c>
      <c r="H35" s="48">
        <f>SUM(H5:H34)</f>
        <v>2223270.3125</v>
      </c>
      <c r="I35" s="48">
        <f>SUM(I5:I34)</f>
        <v>351283.01749999996</v>
      </c>
      <c r="J35" s="49">
        <f>IFERROR(I35/G35,0)</f>
        <v>0.13644425749766853</v>
      </c>
      <c r="K35" s="48">
        <f>SUM(K5:K34)</f>
        <v>2134</v>
      </c>
      <c r="L35" s="47" t="s">
        <v>72</v>
      </c>
      <c r="M35" s="47" t="s">
        <v>72</v>
      </c>
    </row>
    <row r="37" spans="2:13" ht="39.75" customHeight="1" x14ac:dyDescent="0.3">
      <c r="B37" s="2" t="s">
        <v>73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</sheetData>
  <mergeCells count="3">
    <mergeCell ref="B1:M1"/>
    <mergeCell ref="B2:M2"/>
    <mergeCell ref="B37:M3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L38"/>
  <sheetViews>
    <sheetView showGridLines="0" rightToLeft="1" tabSelected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K7" sqref="K7"/>
    </sheetView>
  </sheetViews>
  <sheetFormatPr defaultColWidth="8.6640625" defaultRowHeight="14.4" x14ac:dyDescent="0.3"/>
  <cols>
    <col min="1" max="1" width="3" customWidth="1"/>
    <col min="2" max="2" width="20" customWidth="1"/>
    <col min="3" max="4" width="12" customWidth="1"/>
    <col min="5" max="5" width="10" customWidth="1"/>
    <col min="6" max="10" width="11" customWidth="1"/>
    <col min="11" max="11" width="10" customWidth="1"/>
    <col min="12" max="12" width="12" customWidth="1"/>
  </cols>
  <sheetData>
    <row r="1" spans="2:12" ht="21" x14ac:dyDescent="0.3">
      <c r="B1" s="9" t="s">
        <v>74</v>
      </c>
      <c r="C1" s="9"/>
      <c r="D1" s="9"/>
      <c r="E1" s="9"/>
      <c r="F1" s="9"/>
      <c r="G1" s="9"/>
      <c r="H1" s="9"/>
      <c r="I1" s="9"/>
      <c r="J1" s="9"/>
      <c r="K1" s="9"/>
    </row>
    <row r="2" spans="2:12" x14ac:dyDescent="0.3">
      <c r="B2" s="8" t="s">
        <v>75</v>
      </c>
      <c r="C2" s="8"/>
      <c r="D2" s="8"/>
      <c r="E2" s="8"/>
      <c r="F2" s="8"/>
      <c r="G2" s="8"/>
      <c r="H2" s="8"/>
      <c r="I2" s="8"/>
      <c r="J2" s="8"/>
      <c r="K2" s="8"/>
    </row>
    <row r="4" spans="2:12" ht="15" customHeight="1" x14ac:dyDescent="0.3">
      <c r="B4" s="1" t="s">
        <v>76</v>
      </c>
      <c r="C4" s="1"/>
      <c r="D4" s="1"/>
      <c r="E4" s="50">
        <v>30</v>
      </c>
    </row>
    <row r="6" spans="2:12" ht="27.6" x14ac:dyDescent="0.3">
      <c r="B6" s="51" t="s">
        <v>59</v>
      </c>
      <c r="C6" s="51" t="s">
        <v>77</v>
      </c>
      <c r="D6" s="51" t="s">
        <v>78</v>
      </c>
      <c r="E6" s="51" t="s">
        <v>79</v>
      </c>
      <c r="F6" s="51" t="s">
        <v>80</v>
      </c>
      <c r="G6" s="51" t="s">
        <v>81</v>
      </c>
      <c r="H6" s="51" t="s">
        <v>82</v>
      </c>
      <c r="I6" s="51" t="s">
        <v>83</v>
      </c>
      <c r="J6" s="51" t="s">
        <v>84</v>
      </c>
      <c r="K6" s="51" t="s">
        <v>85</v>
      </c>
      <c r="L6" s="51" t="s">
        <v>86</v>
      </c>
    </row>
    <row r="7" spans="2:12" x14ac:dyDescent="0.3">
      <c r="B7" s="22" t="str">
        <f>المنتجات!$C$5</f>
        <v>عصير جومانة 2ل</v>
      </c>
      <c r="C7" s="52">
        <f>IF(المنتجات!$C$5="","",IF(المنتجات!$D$5&lt;&gt;"",المنتجات!$D$5,IFERROR(_xlfn.MINIFS('إدخال المبيعات'!$B:$B,'إدخال المبيعات'!$C:$C,المنتجات!$C$5),"")))</f>
        <v>46198</v>
      </c>
      <c r="D7" s="52">
        <f>IF(المنتجات!$C$5="","",IFERROR(_xlfn.MAXIFS('إدخال المبيعات'!$B:$B,'إدخال المبيعات'!$C:$C,المنتجات!$C$5),""))</f>
        <v>46236</v>
      </c>
      <c r="E7" s="29">
        <f t="shared" ref="E7:E36" si="0">IF(OR(C7="",D7=""),"",MAX(D7-C7+1,1))</f>
        <v>39</v>
      </c>
      <c r="F7" s="53">
        <f>IF(E7="","",SUMIFS('إدخال المبيعات'!$D:$D,'إدخال المبيعات'!$C:$C,المنتجات!$C$5)/E7)</f>
        <v>30.820512820512821</v>
      </c>
      <c r="G7" s="53">
        <f>IF(E7="","",SUMIFS('إدخال المبيعات'!$F:$F,'إدخال المبيعات'!$C:$C,المنتجات!$C$5)/E7)</f>
        <v>13869.16</v>
      </c>
      <c r="H7" s="40">
        <f t="shared" ref="H7:H36" si="1">IF(F7="","",F7*$E$4)</f>
        <v>924.61538461538464</v>
      </c>
      <c r="I7" s="40">
        <f t="shared" ref="I7:I36" si="2">IF(G7="","",G7*$E$4)</f>
        <v>416074.8</v>
      </c>
      <c r="J7" s="40">
        <f>IF(OR(H7="",F7="",F7=0),"",H7*(IFERROR(G7/F7,0)-IFERROR('تقرير المنتجات'!$E$5,0)))</f>
        <v>73967.107692307662</v>
      </c>
      <c r="K7" s="29">
        <f>IF(المنتجات!$C$5="","",'تقرير المنتجات'!$K$5)</f>
        <v>638</v>
      </c>
      <c r="L7" s="54">
        <f t="shared" ref="L7:L36" si="3">IF(OR(H7="",K7=""),"",MAX(H7-K7,0))</f>
        <v>286.61538461538464</v>
      </c>
    </row>
    <row r="8" spans="2:12" x14ac:dyDescent="0.3">
      <c r="B8" s="26" t="str">
        <f>المنتجات!$C$6</f>
        <v>عصير كين دور 1.25ل</v>
      </c>
      <c r="C8" s="55">
        <f>IF(المنتجات!$C$6="","",IF(المنتجات!$D$6&lt;&gt;"",المنتجات!$D$6,IFERROR(_xlfn.MINIFS('إدخال المبيعات'!$B:$B,'إدخال المبيعات'!$C:$C,المنتجات!$C$6),"")))</f>
        <v>46198</v>
      </c>
      <c r="D8" s="55">
        <f>IF(المنتجات!$C$6="","",IFERROR(_xlfn.MAXIFS('إدخال المبيعات'!$B:$B,'إدخال المبيعات'!$C:$C,المنتجات!$C$6),""))</f>
        <v>46236</v>
      </c>
      <c r="E8" s="31">
        <f t="shared" si="0"/>
        <v>39</v>
      </c>
      <c r="F8" s="56">
        <f>IF(E8="","",SUMIFS('إدخال المبيعات'!$D:$D,'إدخال المبيعات'!$C:$C,المنتجات!$C$6)/E8)</f>
        <v>24.53846153846154</v>
      </c>
      <c r="G8" s="56">
        <f>IF(E8="","",SUMIFS('إدخال المبيعات'!$F:$F,'إدخال المبيعات'!$C:$C,المنتجات!$C$6)/E8)</f>
        <v>9324.5238461538465</v>
      </c>
      <c r="H8" s="44">
        <f t="shared" si="1"/>
        <v>736.15384615384619</v>
      </c>
      <c r="I8" s="44">
        <f t="shared" si="2"/>
        <v>279735.71538461541</v>
      </c>
      <c r="J8" s="44">
        <f>IF(OR(H8="",F8="",F8=0),"",H8*(IFERROR(G8/F8,0)-IFERROR('تقرير المنتجات'!$E$6,0)))</f>
        <v>55208.792307692311</v>
      </c>
      <c r="K8" s="31">
        <f>IF(المنتجات!$C$6="","",'تقرير المنتجات'!$K$6)</f>
        <v>-19</v>
      </c>
      <c r="L8" s="57">
        <f t="shared" si="3"/>
        <v>755.15384615384619</v>
      </c>
    </row>
    <row r="9" spans="2:12" x14ac:dyDescent="0.3">
      <c r="B9" s="22" t="str">
        <f>المنتجات!$C$7</f>
        <v>عصير مدى 33سل</v>
      </c>
      <c r="C9" s="52">
        <f>IF(المنتجات!$C$7="","",IF(المنتجات!$D$7&lt;&gt;"",المنتجات!$D$7,IFERROR(_xlfn.MINIFS('إدخال المبيعات'!$B:$B,'إدخال المبيعات'!$C:$C,المنتجات!$C$7),"")))</f>
        <v>46198</v>
      </c>
      <c r="D9" s="52">
        <f>IF(المنتجات!$C$7="","",IFERROR(_xlfn.MAXIFS('إدخال المبيعات'!$B:$B,'إدخال المبيعات'!$C:$C,المنتجات!$C$7),""))</f>
        <v>46236</v>
      </c>
      <c r="E9" s="29">
        <f t="shared" si="0"/>
        <v>39</v>
      </c>
      <c r="F9" s="53">
        <f>IF(E9="","",SUMIFS('إدخال المبيعات'!$D:$D,'إدخال المبيعات'!$C:$C,المنتجات!$C$7)/E9)</f>
        <v>16.743589743589745</v>
      </c>
      <c r="G9" s="53">
        <f>IF(E9="","",SUMIFS('إدخال المبيعات'!$F:$F,'إدخال المبيعات'!$C:$C,المنتجات!$C$7)/E9)</f>
        <v>6697.4282051282053</v>
      </c>
      <c r="H9" s="40">
        <f t="shared" si="1"/>
        <v>502.30769230769232</v>
      </c>
      <c r="I9" s="40">
        <f t="shared" si="2"/>
        <v>200922.84615384616</v>
      </c>
      <c r="J9" s="40">
        <f>IF(OR(H9="",F9="",F9=0),"",H9*(IFERROR(G9/F9,0)-IFERROR('تقرير المنتجات'!$E$7,0)))</f>
        <v>40184.384615384603</v>
      </c>
      <c r="K9" s="29">
        <f>IF(المنتجات!$C$7="","",'تقرير المنتجات'!$K$7)</f>
        <v>697</v>
      </c>
      <c r="L9" s="54">
        <f t="shared" si="3"/>
        <v>0</v>
      </c>
    </row>
    <row r="10" spans="2:12" x14ac:dyDescent="0.3">
      <c r="B10" s="26" t="str">
        <f>المنتجات!$C$8</f>
        <v>عصير اكسترا 2ل</v>
      </c>
      <c r="C10" s="55">
        <f>IF(المنتجات!$C$8="","",IF(المنتجات!$D$8&lt;&gt;"",المنتجات!$D$8,IFERROR(_xlfn.MINIFS('إدخال المبيعات'!$B:$B,'إدخال المبيعات'!$C:$C,المنتجات!$C$8),"")))</f>
        <v>46198</v>
      </c>
      <c r="D10" s="55">
        <f>IF(المنتجات!$C$8="","",IFERROR(_xlfn.MAXIFS('إدخال المبيعات'!$B:$B,'إدخال المبيعات'!$C:$C,المنتجات!$C$8),""))</f>
        <v>46231</v>
      </c>
      <c r="E10" s="31">
        <f t="shared" si="0"/>
        <v>34</v>
      </c>
      <c r="F10" s="56">
        <f>IF(E10="","",SUMIFS('إدخال المبيعات'!$D:$D,'إدخال المبيعات'!$C:$C,المنتجات!$C$8)/E10)</f>
        <v>9.2941176470588243</v>
      </c>
      <c r="G10" s="56">
        <f>IF(E10="","",SUMIFS('إدخال المبيعات'!$F:$F,'إدخال المبيعات'!$C:$C,المنتجات!$C$8)/E10)</f>
        <v>5558.2541176470586</v>
      </c>
      <c r="H10" s="44">
        <f t="shared" si="1"/>
        <v>278.82352941176475</v>
      </c>
      <c r="I10" s="44">
        <f t="shared" si="2"/>
        <v>166747.62352941177</v>
      </c>
      <c r="J10" s="44">
        <f>IF(OR(H10="",F10="",F10=0),"",H10*(IFERROR(G10/F10,0)-IFERROR('تقرير المنتجات'!$E$8,0)))</f>
        <v>27335.858823529405</v>
      </c>
      <c r="K10" s="31">
        <f>IF(المنتجات!$C$8="","",'تقرير المنتجات'!$K$8)</f>
        <v>4</v>
      </c>
      <c r="L10" s="57">
        <f t="shared" si="3"/>
        <v>274.82352941176475</v>
      </c>
    </row>
    <row r="11" spans="2:12" x14ac:dyDescent="0.3">
      <c r="B11" s="22" t="str">
        <f>المنتجات!$C$9</f>
        <v>عصير مدى 1.5ل</v>
      </c>
      <c r="C11" s="52">
        <f>IF(المنتجات!$C$9="","",IF(المنتجات!$D$9&lt;&gt;"",المنتجات!$D$9,IFERROR(_xlfn.MINIFS('إدخال المبيعات'!$B:$B,'إدخال المبيعات'!$C:$C,المنتجات!$C$9),"")))</f>
        <v>46198</v>
      </c>
      <c r="D11" s="52">
        <f>IF(المنتجات!$C$9="","",IFERROR(_xlfn.MAXIFS('إدخال المبيعات'!$B:$B,'إدخال المبيعات'!$C:$C,المنتجات!$C$9),""))</f>
        <v>46236</v>
      </c>
      <c r="E11" s="29">
        <f t="shared" si="0"/>
        <v>39</v>
      </c>
      <c r="F11" s="53">
        <f>IF(E11="","",SUMIFS('إدخال المبيعات'!$D:$D,'إدخال المبيعات'!$C:$C,المنتجات!$C$9)/E11)</f>
        <v>8.1282051282051277</v>
      </c>
      <c r="G11" s="53">
        <f>IF(E11="","",SUMIFS('إدخال المبيعات'!$F:$F,'إدخال المبيعات'!$C:$C,المنتجات!$C$9)/E11)</f>
        <v>4876.9056410256408</v>
      </c>
      <c r="H11" s="40">
        <f t="shared" si="1"/>
        <v>243.84615384615384</v>
      </c>
      <c r="I11" s="40">
        <f t="shared" si="2"/>
        <v>146307.16923076921</v>
      </c>
      <c r="J11" s="40">
        <f>IF(OR(H11="",F11="",F11=0),"",H11*(IFERROR(G11/F11,0)-IFERROR('تقرير المنتجات'!$E$9,0)))</f>
        <v>24384.09230769231</v>
      </c>
      <c r="K11" s="29">
        <f>IF(المنتجات!$C$9="","",'تقرير المنتجات'!$K$9)</f>
        <v>83</v>
      </c>
      <c r="L11" s="54">
        <f t="shared" si="3"/>
        <v>160.84615384615384</v>
      </c>
    </row>
    <row r="12" spans="2:12" x14ac:dyDescent="0.3">
      <c r="B12" s="26" t="str">
        <f>المنتجات!$C$10</f>
        <v>جيليكس 2ل</v>
      </c>
      <c r="C12" s="55">
        <f>IF(المنتجات!$C$10="","",IF(المنتجات!$D$10&lt;&gt;"",المنتجات!$D$10,IFERROR(_xlfn.MINIFS('إدخال المبيعات'!$B:$B,'إدخال المبيعات'!$C:$C,المنتجات!$C$10),"")))</f>
        <v>46214</v>
      </c>
      <c r="D12" s="55">
        <f>IF(المنتجات!$C$10="","",IFERROR(_xlfn.MAXIFS('إدخال المبيعات'!$B:$B,'إدخال المبيعات'!$C:$C,المنتجات!$C$10),""))</f>
        <v>46236</v>
      </c>
      <c r="E12" s="31">
        <f t="shared" si="0"/>
        <v>23</v>
      </c>
      <c r="F12" s="56">
        <f>IF(E12="","",SUMIFS('إدخال المبيعات'!$D:$D,'إدخال المبيعات'!$C:$C,المنتجات!$C$10)/E12)</f>
        <v>44.913043478260867</v>
      </c>
      <c r="G12" s="56">
        <f>IF(E12="","",SUMIFS('إدخال المبيعات'!$F:$F,'إدخال المبيعات'!$C:$C,المنتجات!$C$10)/E12)</f>
        <v>23354.782608695652</v>
      </c>
      <c r="H12" s="44">
        <f t="shared" si="1"/>
        <v>1347.391304347826</v>
      </c>
      <c r="I12" s="44">
        <f t="shared" si="2"/>
        <v>700643.47826086951</v>
      </c>
      <c r="J12" s="44">
        <f>IF(OR(H12="",F12="",F12=0),"",H12*(IFERROR(G12/F12,0)-IFERROR('تقرير المنتجات'!$E$10,0)))</f>
        <v>50106.114130434777</v>
      </c>
      <c r="K12" s="31">
        <f>IF(المنتجات!$C$10="","",'تقرير المنتجات'!$K$10)</f>
        <v>247</v>
      </c>
      <c r="L12" s="57">
        <f t="shared" si="3"/>
        <v>1100.391304347826</v>
      </c>
    </row>
    <row r="13" spans="2:12" x14ac:dyDescent="0.3">
      <c r="B13" s="22" t="str">
        <f>المنتجات!$C$11</f>
        <v>جي اروى 2ل</v>
      </c>
      <c r="C13" s="52">
        <f>IF(المنتجات!$C$11="","",IF(المنتجات!$D$11&lt;&gt;"",المنتجات!$D$11,IFERROR(_xlfn.MINIFS('إدخال المبيعات'!$B:$B,'إدخال المبيعات'!$C:$C,المنتجات!$C$11),"")))</f>
        <v>46216</v>
      </c>
      <c r="D13" s="52">
        <f>IF(المنتجات!$C$11="","",IFERROR(_xlfn.MAXIFS('إدخال المبيعات'!$B:$B,'إدخال المبيعات'!$C:$C,المنتجات!$C$11),""))</f>
        <v>46236</v>
      </c>
      <c r="E13" s="29">
        <f t="shared" si="0"/>
        <v>21</v>
      </c>
      <c r="F13" s="53">
        <f>IF(E13="","",SUMIFS('إدخال المبيعات'!$D:$D,'إدخال المبيعات'!$C:$C,المنتجات!$C$11)/E13)</f>
        <v>15.285714285714286</v>
      </c>
      <c r="G13" s="53">
        <f>IF(E13="","",SUMIFS('إدخال المبيعات'!$F:$F,'إدخال المبيعات'!$C:$C,المنتجات!$C$11)/E13)</f>
        <v>11617.142857142857</v>
      </c>
      <c r="H13" s="40">
        <f t="shared" si="1"/>
        <v>458.57142857142861</v>
      </c>
      <c r="I13" s="40">
        <f t="shared" si="2"/>
        <v>348514.28571428568</v>
      </c>
      <c r="J13" s="40">
        <f>IF(OR(H13="",F13="",F13=0),"",H13*(IFERROR(G13/F13,0)-IFERROR('تقرير المنتجات'!$E$11,0)))</f>
        <v>20635.714285714286</v>
      </c>
      <c r="K13" s="29">
        <f>IF(المنتجات!$C$11="","",'تقرير المنتجات'!$K$11)</f>
        <v>239</v>
      </c>
      <c r="L13" s="54">
        <f t="shared" si="3"/>
        <v>219.57142857142861</v>
      </c>
    </row>
    <row r="14" spans="2:12" x14ac:dyDescent="0.3">
      <c r="B14" s="26" t="str">
        <f>المنتجات!$C$12</f>
        <v>اورنجينا 2 لتر</v>
      </c>
      <c r="C14" s="55">
        <f>IF(المنتجات!$C$12="","",IF(المنتجات!$D$12&lt;&gt;"",المنتجات!$D$12,IFERROR(_xlfn.MINIFS('إدخال المبيعات'!$B:$B,'إدخال المبيعات'!$C:$C,المنتجات!$C$12),"")))</f>
        <v>46216</v>
      </c>
      <c r="D14" s="55">
        <f>IF(المنتجات!$C$12="","",IFERROR(_xlfn.MAXIFS('إدخال المبيعات'!$B:$B,'إدخال المبيعات'!$C:$C,المنتجات!$C$12),""))</f>
        <v>46236</v>
      </c>
      <c r="E14" s="31">
        <f t="shared" si="0"/>
        <v>21</v>
      </c>
      <c r="F14" s="56">
        <f>IF(E14="","",SUMIFS('إدخال المبيعات'!$D:$D,'إدخال المبيعات'!$C:$C,المنتجات!$C$12)/E14)</f>
        <v>15</v>
      </c>
      <c r="G14" s="56">
        <f>IF(E14="","",SUMIFS('إدخال المبيعات'!$F:$F,'إدخال المبيعات'!$C:$C,المنتجات!$C$12)/E14)</f>
        <v>11400</v>
      </c>
      <c r="H14" s="44">
        <f t="shared" si="1"/>
        <v>450</v>
      </c>
      <c r="I14" s="44">
        <f t="shared" si="2"/>
        <v>342000</v>
      </c>
      <c r="J14" s="44">
        <f>IF(OR(H14="",F14="",F14=0),"",H14*(IFERROR(G14/F14,0)-IFERROR('تقرير المنتجات'!$E$12,0)))</f>
        <v>20250</v>
      </c>
      <c r="K14" s="31">
        <f>IF(المنتجات!$C$12="","",'تقرير المنتجات'!$K$12)</f>
        <v>245</v>
      </c>
      <c r="L14" s="57">
        <f t="shared" si="3"/>
        <v>205</v>
      </c>
    </row>
    <row r="15" spans="2:12" x14ac:dyDescent="0.3">
      <c r="B15" s="22" t="str">
        <f>المنتجات!$C$13</f>
        <v>قازوز فرحة 33سل</v>
      </c>
      <c r="C15" s="52">
        <f>IF(المنتجات!$C$13="","",IF(المنتجات!$D$13&lt;&gt;"",المنتجات!$D$13,IFERROR(_xlfn.MINIFS('إدخال المبيعات'!$B:$B,'إدخال المبيعات'!$C:$C,المنتجات!$C$13),"")))</f>
        <v>46234</v>
      </c>
      <c r="D15" s="52">
        <f>IF(المنتجات!$C$13="","",IFERROR(_xlfn.MAXIFS('إدخال المبيعات'!$B:$B,'إدخال المبيعات'!$C:$C,المنتجات!$C$13),""))</f>
        <v>46236</v>
      </c>
      <c r="E15" s="29">
        <f t="shared" si="0"/>
        <v>3</v>
      </c>
      <c r="F15" s="53">
        <f>IF(E15="","",SUMIFS('إدخال المبيعات'!$D:$D,'إدخال المبيعات'!$C:$C,المنتجات!$C$13)/E15)</f>
        <v>11.666666666666666</v>
      </c>
      <c r="G15" s="53">
        <f>IF(E15="","",SUMIFS('إدخال المبيعات'!$F:$F,'إدخال المبيعات'!$C:$C,المنتجات!$C$13)/E15)</f>
        <v>3033.3333333333335</v>
      </c>
      <c r="H15" s="40">
        <f t="shared" si="1"/>
        <v>350</v>
      </c>
      <c r="I15" s="40">
        <f t="shared" si="2"/>
        <v>91000</v>
      </c>
      <c r="J15" s="40">
        <f>IF(OR(H15="",F15="",F15=0),"",H15*(IFERROR(G15/F15,0)-IFERROR('تقرير المنتجات'!$E$13,0)))</f>
        <v>14000</v>
      </c>
      <c r="K15" s="29">
        <f>IF(المنتجات!$C$13="","",'تقرير المنتجات'!$K$13)</f>
        <v>0</v>
      </c>
      <c r="L15" s="54">
        <f t="shared" si="3"/>
        <v>350</v>
      </c>
    </row>
    <row r="16" spans="2:12" x14ac:dyDescent="0.3">
      <c r="B16" s="26">
        <f>المنتجات!$C$14</f>
        <v>0</v>
      </c>
      <c r="C16" s="55" t="str">
        <f>IF(المنتجات!$C$14="","",IF(المنتجات!$D$14&lt;&gt;"",المنتجات!$D$14,IFERROR(_xlfn.MINIFS('إدخال المبيعات'!$B:$B,'إدخال المبيعات'!$C:$C,المنتجات!$C$14),"")))</f>
        <v/>
      </c>
      <c r="D16" s="55" t="str">
        <f>IF(المنتجات!$C$14="","",IFERROR(_xlfn.MAXIFS('إدخال المبيعات'!$B:$B,'إدخال المبيعات'!$C:$C,المنتجات!$C$14),""))</f>
        <v/>
      </c>
      <c r="E16" s="31" t="str">
        <f t="shared" si="0"/>
        <v/>
      </c>
      <c r="F16" s="56" t="str">
        <f>IF(E16="","",SUMIFS('إدخال المبيعات'!$D:$D,'إدخال المبيعات'!$C:$C,المنتجات!$C$14)/E16)</f>
        <v/>
      </c>
      <c r="G16" s="56" t="str">
        <f>IF(E16="","",SUMIFS('إدخال المبيعات'!$F:$F,'إدخال المبيعات'!$C:$C,المنتجات!$C$14)/E16)</f>
        <v/>
      </c>
      <c r="H16" s="44" t="str">
        <f t="shared" si="1"/>
        <v/>
      </c>
      <c r="I16" s="44" t="str">
        <f t="shared" si="2"/>
        <v/>
      </c>
      <c r="J16" s="44" t="str">
        <f>IF(OR(H16="",F16="",F16=0),"",H16*(IFERROR(G16/F16,0)-IFERROR('تقرير المنتجات'!$E$14,0)))</f>
        <v/>
      </c>
      <c r="K16" s="31" t="str">
        <f>IF(المنتجات!$C$14="","",'تقرير المنتجات'!$K$14)</f>
        <v/>
      </c>
      <c r="L16" s="57" t="str">
        <f t="shared" si="3"/>
        <v/>
      </c>
    </row>
    <row r="17" spans="2:12" x14ac:dyDescent="0.3">
      <c r="B17" s="22">
        <f>المنتجات!$C$15</f>
        <v>0</v>
      </c>
      <c r="C17" s="52" t="str">
        <f>IF(المنتجات!$C$15="","",IF(المنتجات!$D$15&lt;&gt;"",المنتجات!$D$15,IFERROR(_xlfn.MINIFS('إدخال المبيعات'!$B:$B,'إدخال المبيعات'!$C:$C,المنتجات!$C$15),"")))</f>
        <v/>
      </c>
      <c r="D17" s="52" t="str">
        <f>IF(المنتجات!$C$15="","",IFERROR(_xlfn.MAXIFS('إدخال المبيعات'!$B:$B,'إدخال المبيعات'!$C:$C,المنتجات!$C$15),""))</f>
        <v/>
      </c>
      <c r="E17" s="29" t="str">
        <f t="shared" si="0"/>
        <v/>
      </c>
      <c r="F17" s="53" t="str">
        <f>IF(E17="","",SUMIFS('إدخال المبيعات'!$D:$D,'إدخال المبيعات'!$C:$C,المنتجات!$C$15)/E17)</f>
        <v/>
      </c>
      <c r="G17" s="53" t="str">
        <f>IF(E17="","",SUMIFS('إدخال المبيعات'!$F:$F,'إدخال المبيعات'!$C:$C,المنتجات!$C$15)/E17)</f>
        <v/>
      </c>
      <c r="H17" s="40" t="str">
        <f t="shared" si="1"/>
        <v/>
      </c>
      <c r="I17" s="40" t="str">
        <f t="shared" si="2"/>
        <v/>
      </c>
      <c r="J17" s="40" t="str">
        <f>IF(OR(H17="",F17="",F17=0),"",H17*(IFERROR(G17/F17,0)-IFERROR('تقرير المنتجات'!$E$15,0)))</f>
        <v/>
      </c>
      <c r="K17" s="29" t="str">
        <f>IF(المنتجات!$C$15="","",'تقرير المنتجات'!$K$15)</f>
        <v/>
      </c>
      <c r="L17" s="54" t="str">
        <f t="shared" si="3"/>
        <v/>
      </c>
    </row>
    <row r="18" spans="2:12" x14ac:dyDescent="0.3">
      <c r="B18" s="26">
        <f>المنتجات!$C$16</f>
        <v>0</v>
      </c>
      <c r="C18" s="55" t="str">
        <f>IF(المنتجات!$C$16="","",IF(المنتجات!$D$16&lt;&gt;"",المنتجات!$D$16,IFERROR(_xlfn.MINIFS('إدخال المبيعات'!$B:$B,'إدخال المبيعات'!$C:$C,المنتجات!$C$16),"")))</f>
        <v/>
      </c>
      <c r="D18" s="55" t="str">
        <f>IF(المنتجات!$C$16="","",IFERROR(_xlfn.MAXIFS('إدخال المبيعات'!$B:$B,'إدخال المبيعات'!$C:$C,المنتجات!$C$16),""))</f>
        <v/>
      </c>
      <c r="E18" s="31" t="str">
        <f t="shared" si="0"/>
        <v/>
      </c>
      <c r="F18" s="56" t="str">
        <f>IF(E18="","",SUMIFS('إدخال المبيعات'!$D:$D,'إدخال المبيعات'!$C:$C,المنتجات!$C$16)/E18)</f>
        <v/>
      </c>
      <c r="G18" s="56" t="str">
        <f>IF(E18="","",SUMIFS('إدخال المبيعات'!$F:$F,'إدخال المبيعات'!$C:$C,المنتجات!$C$16)/E18)</f>
        <v/>
      </c>
      <c r="H18" s="44" t="str">
        <f t="shared" si="1"/>
        <v/>
      </c>
      <c r="I18" s="44" t="str">
        <f t="shared" si="2"/>
        <v/>
      </c>
      <c r="J18" s="44" t="str">
        <f>IF(OR(H18="",F18="",F18=0),"",H18*(IFERROR(G18/F18,0)-IFERROR('تقرير المنتجات'!$E$16,0)))</f>
        <v/>
      </c>
      <c r="K18" s="31" t="str">
        <f>IF(المنتجات!$C$16="","",'تقرير المنتجات'!$K$16)</f>
        <v/>
      </c>
      <c r="L18" s="57" t="str">
        <f t="shared" si="3"/>
        <v/>
      </c>
    </row>
    <row r="19" spans="2:12" x14ac:dyDescent="0.3">
      <c r="B19" s="22">
        <f>المنتجات!$C$17</f>
        <v>0</v>
      </c>
      <c r="C19" s="52" t="str">
        <f>IF(المنتجات!$C$17="","",IF(المنتجات!$D$17&lt;&gt;"",المنتجات!$D$17,IFERROR(_xlfn.MINIFS('إدخال المبيعات'!$B:$B,'إدخال المبيعات'!$C:$C,المنتجات!$C$17),"")))</f>
        <v/>
      </c>
      <c r="D19" s="52" t="str">
        <f>IF(المنتجات!$C$17="","",IFERROR(_xlfn.MAXIFS('إدخال المبيعات'!$B:$B,'إدخال المبيعات'!$C:$C,المنتجات!$C$17),""))</f>
        <v/>
      </c>
      <c r="E19" s="29" t="str">
        <f t="shared" si="0"/>
        <v/>
      </c>
      <c r="F19" s="53" t="str">
        <f>IF(E19="","",SUMIFS('إدخال المبيعات'!$D:$D,'إدخال المبيعات'!$C:$C,المنتجات!$C$17)/E19)</f>
        <v/>
      </c>
      <c r="G19" s="53" t="str">
        <f>IF(E19="","",SUMIFS('إدخال المبيعات'!$F:$F,'إدخال المبيعات'!$C:$C,المنتجات!$C$17)/E19)</f>
        <v/>
      </c>
      <c r="H19" s="40" t="str">
        <f t="shared" si="1"/>
        <v/>
      </c>
      <c r="I19" s="40" t="str">
        <f t="shared" si="2"/>
        <v/>
      </c>
      <c r="J19" s="40" t="str">
        <f>IF(OR(H19="",F19="",F19=0),"",H19*(IFERROR(G19/F19,0)-IFERROR('تقرير المنتجات'!$E$17,0)))</f>
        <v/>
      </c>
      <c r="K19" s="29" t="str">
        <f>IF(المنتجات!$C$17="","",'تقرير المنتجات'!$K$17)</f>
        <v/>
      </c>
      <c r="L19" s="54" t="str">
        <f t="shared" si="3"/>
        <v/>
      </c>
    </row>
    <row r="20" spans="2:12" x14ac:dyDescent="0.3">
      <c r="B20" s="26">
        <f>المنتجات!$C$18</f>
        <v>0</v>
      </c>
      <c r="C20" s="55" t="str">
        <f>IF(المنتجات!$C$18="","",IF(المنتجات!$D$18&lt;&gt;"",المنتجات!$D$18,IFERROR(_xlfn.MINIFS('إدخال المبيعات'!$B:$B,'إدخال المبيعات'!$C:$C,المنتجات!$C$18),"")))</f>
        <v/>
      </c>
      <c r="D20" s="55" t="str">
        <f>IF(المنتجات!$C$18="","",IFERROR(_xlfn.MAXIFS('إدخال المبيعات'!$B:$B,'إدخال المبيعات'!$C:$C,المنتجات!$C$18),""))</f>
        <v/>
      </c>
      <c r="E20" s="31" t="str">
        <f t="shared" si="0"/>
        <v/>
      </c>
      <c r="F20" s="56" t="str">
        <f>IF(E20="","",SUMIFS('إدخال المبيعات'!$D:$D,'إدخال المبيعات'!$C:$C,المنتجات!$C$18)/E20)</f>
        <v/>
      </c>
      <c r="G20" s="56" t="str">
        <f>IF(E20="","",SUMIFS('إدخال المبيعات'!$F:$F,'إدخال المبيعات'!$C:$C,المنتجات!$C$18)/E20)</f>
        <v/>
      </c>
      <c r="H20" s="44" t="str">
        <f t="shared" si="1"/>
        <v/>
      </c>
      <c r="I20" s="44" t="str">
        <f t="shared" si="2"/>
        <v/>
      </c>
      <c r="J20" s="44" t="str">
        <f>IF(OR(H20="",F20="",F20=0),"",H20*(IFERROR(G20/F20,0)-IFERROR('تقرير المنتجات'!$E$18,0)))</f>
        <v/>
      </c>
      <c r="K20" s="31" t="str">
        <f>IF(المنتجات!$C$18="","",'تقرير المنتجات'!$K$18)</f>
        <v/>
      </c>
      <c r="L20" s="57" t="str">
        <f t="shared" si="3"/>
        <v/>
      </c>
    </row>
    <row r="21" spans="2:12" x14ac:dyDescent="0.3">
      <c r="B21" s="22">
        <f>المنتجات!$C$19</f>
        <v>0</v>
      </c>
      <c r="C21" s="52" t="str">
        <f>IF(المنتجات!$C$19="","",IF(المنتجات!$D$19&lt;&gt;"",المنتجات!$D$19,IFERROR(_xlfn.MINIFS('إدخال المبيعات'!$B:$B,'إدخال المبيعات'!$C:$C,المنتجات!$C$19),"")))</f>
        <v/>
      </c>
      <c r="D21" s="52" t="str">
        <f>IF(المنتجات!$C$19="","",IFERROR(_xlfn.MAXIFS('إدخال المبيعات'!$B:$B,'إدخال المبيعات'!$C:$C,المنتجات!$C$19),""))</f>
        <v/>
      </c>
      <c r="E21" s="29" t="str">
        <f t="shared" si="0"/>
        <v/>
      </c>
      <c r="F21" s="53" t="str">
        <f>IF(E21="","",SUMIFS('إدخال المبيعات'!$D:$D,'إدخال المبيعات'!$C:$C,المنتجات!$C$19)/E21)</f>
        <v/>
      </c>
      <c r="G21" s="53" t="str">
        <f>IF(E21="","",SUMIFS('إدخال المبيعات'!$F:$F,'إدخال المبيعات'!$C:$C,المنتجات!$C$19)/E21)</f>
        <v/>
      </c>
      <c r="H21" s="40" t="str">
        <f t="shared" si="1"/>
        <v/>
      </c>
      <c r="I21" s="40" t="str">
        <f t="shared" si="2"/>
        <v/>
      </c>
      <c r="J21" s="40" t="str">
        <f>IF(OR(H21="",F21="",F21=0),"",H21*(IFERROR(G21/F21,0)-IFERROR('تقرير المنتجات'!$E$19,0)))</f>
        <v/>
      </c>
      <c r="K21" s="29" t="str">
        <f>IF(المنتجات!$C$19="","",'تقرير المنتجات'!$K$19)</f>
        <v/>
      </c>
      <c r="L21" s="54" t="str">
        <f t="shared" si="3"/>
        <v/>
      </c>
    </row>
    <row r="22" spans="2:12" x14ac:dyDescent="0.3">
      <c r="B22" s="26">
        <f>المنتجات!$C$20</f>
        <v>0</v>
      </c>
      <c r="C22" s="55" t="str">
        <f>IF(المنتجات!$C$20="","",IF(المنتجات!$D$20&lt;&gt;"",المنتجات!$D$20,IFERROR(_xlfn.MINIFS('إدخال المبيعات'!$B:$B,'إدخال المبيعات'!$C:$C,المنتجات!$C$20),"")))</f>
        <v/>
      </c>
      <c r="D22" s="55" t="str">
        <f>IF(المنتجات!$C$20="","",IFERROR(_xlfn.MAXIFS('إدخال المبيعات'!$B:$B,'إدخال المبيعات'!$C:$C,المنتجات!$C$20),""))</f>
        <v/>
      </c>
      <c r="E22" s="31" t="str">
        <f t="shared" si="0"/>
        <v/>
      </c>
      <c r="F22" s="56" t="str">
        <f>IF(E22="","",SUMIFS('إدخال المبيعات'!$D:$D,'إدخال المبيعات'!$C:$C,المنتجات!$C$20)/E22)</f>
        <v/>
      </c>
      <c r="G22" s="56" t="str">
        <f>IF(E22="","",SUMIFS('إدخال المبيعات'!$F:$F,'إدخال المبيعات'!$C:$C,المنتجات!$C$20)/E22)</f>
        <v/>
      </c>
      <c r="H22" s="44" t="str">
        <f t="shared" si="1"/>
        <v/>
      </c>
      <c r="I22" s="44" t="str">
        <f t="shared" si="2"/>
        <v/>
      </c>
      <c r="J22" s="44" t="str">
        <f>IF(OR(H22="",F22="",F22=0),"",H22*(IFERROR(G22/F22,0)-IFERROR('تقرير المنتجات'!$E$20,0)))</f>
        <v/>
      </c>
      <c r="K22" s="31" t="str">
        <f>IF(المنتجات!$C$20="","",'تقرير المنتجات'!$K$20)</f>
        <v/>
      </c>
      <c r="L22" s="57" t="str">
        <f t="shared" si="3"/>
        <v/>
      </c>
    </row>
    <row r="23" spans="2:12" x14ac:dyDescent="0.3">
      <c r="B23" s="22">
        <f>المنتجات!$C$21</f>
        <v>0</v>
      </c>
      <c r="C23" s="52" t="str">
        <f>IF(المنتجات!$C$21="","",IF(المنتجات!$D$21&lt;&gt;"",المنتجات!$D$21,IFERROR(_xlfn.MINIFS('إدخال المبيعات'!$B:$B,'إدخال المبيعات'!$C:$C,المنتجات!$C$21),"")))</f>
        <v/>
      </c>
      <c r="D23" s="52" t="str">
        <f>IF(المنتجات!$C$21="","",IFERROR(_xlfn.MAXIFS('إدخال المبيعات'!$B:$B,'إدخال المبيعات'!$C:$C,المنتجات!$C$21),""))</f>
        <v/>
      </c>
      <c r="E23" s="29" t="str">
        <f t="shared" si="0"/>
        <v/>
      </c>
      <c r="F23" s="53" t="str">
        <f>IF(E23="","",SUMIFS('إدخال المبيعات'!$D:$D,'إدخال المبيعات'!$C:$C,المنتجات!$C$21)/E23)</f>
        <v/>
      </c>
      <c r="G23" s="53" t="str">
        <f>IF(E23="","",SUMIFS('إدخال المبيعات'!$F:$F,'إدخال المبيعات'!$C:$C,المنتجات!$C$21)/E23)</f>
        <v/>
      </c>
      <c r="H23" s="40" t="str">
        <f t="shared" si="1"/>
        <v/>
      </c>
      <c r="I23" s="40" t="str">
        <f t="shared" si="2"/>
        <v/>
      </c>
      <c r="J23" s="40" t="str">
        <f>IF(OR(H23="",F23="",F23=0),"",H23*(IFERROR(G23/F23,0)-IFERROR('تقرير المنتجات'!$E$21,0)))</f>
        <v/>
      </c>
      <c r="K23" s="29" t="str">
        <f>IF(المنتجات!$C$21="","",'تقرير المنتجات'!$K$21)</f>
        <v/>
      </c>
      <c r="L23" s="54" t="str">
        <f t="shared" si="3"/>
        <v/>
      </c>
    </row>
    <row r="24" spans="2:12" x14ac:dyDescent="0.3">
      <c r="B24" s="26">
        <f>المنتجات!$C$22</f>
        <v>0</v>
      </c>
      <c r="C24" s="55" t="str">
        <f>IF(المنتجات!$C$22="","",IF(المنتجات!$D$22&lt;&gt;"",المنتجات!$D$22,IFERROR(_xlfn.MINIFS('إدخال المبيعات'!$B:$B,'إدخال المبيعات'!$C:$C,المنتجات!$C$22),"")))</f>
        <v/>
      </c>
      <c r="D24" s="55" t="str">
        <f>IF(المنتجات!$C$22="","",IFERROR(_xlfn.MAXIFS('إدخال المبيعات'!$B:$B,'إدخال المبيعات'!$C:$C,المنتجات!$C$22),""))</f>
        <v/>
      </c>
      <c r="E24" s="31" t="str">
        <f t="shared" si="0"/>
        <v/>
      </c>
      <c r="F24" s="56" t="str">
        <f>IF(E24="","",SUMIFS('إدخال المبيعات'!$D:$D,'إدخال المبيعات'!$C:$C,المنتجات!$C$22)/E24)</f>
        <v/>
      </c>
      <c r="G24" s="56" t="str">
        <f>IF(E24="","",SUMIFS('إدخال المبيعات'!$F:$F,'إدخال المبيعات'!$C:$C,المنتجات!$C$22)/E24)</f>
        <v/>
      </c>
      <c r="H24" s="44" t="str">
        <f t="shared" si="1"/>
        <v/>
      </c>
      <c r="I24" s="44" t="str">
        <f t="shared" si="2"/>
        <v/>
      </c>
      <c r="J24" s="44" t="str">
        <f>IF(OR(H24="",F24="",F24=0),"",H24*(IFERROR(G24/F24,0)-IFERROR('تقرير المنتجات'!$E$22,0)))</f>
        <v/>
      </c>
      <c r="K24" s="31" t="str">
        <f>IF(المنتجات!$C$22="","",'تقرير المنتجات'!$K$22)</f>
        <v/>
      </c>
      <c r="L24" s="57" t="str">
        <f t="shared" si="3"/>
        <v/>
      </c>
    </row>
    <row r="25" spans="2:12" x14ac:dyDescent="0.3">
      <c r="B25" s="22">
        <f>المنتجات!$C$23</f>
        <v>0</v>
      </c>
      <c r="C25" s="52" t="str">
        <f>IF(المنتجات!$C$23="","",IF(المنتجات!$D$23&lt;&gt;"",المنتجات!$D$23,IFERROR(_xlfn.MINIFS('إدخال المبيعات'!$B:$B,'إدخال المبيعات'!$C:$C,المنتجات!$C$23),"")))</f>
        <v/>
      </c>
      <c r="D25" s="52" t="str">
        <f>IF(المنتجات!$C$23="","",IFERROR(_xlfn.MAXIFS('إدخال المبيعات'!$B:$B,'إدخال المبيعات'!$C:$C,المنتجات!$C$23),""))</f>
        <v/>
      </c>
      <c r="E25" s="29" t="str">
        <f t="shared" si="0"/>
        <v/>
      </c>
      <c r="F25" s="53" t="str">
        <f>IF(E25="","",SUMIFS('إدخال المبيعات'!$D:$D,'إدخال المبيعات'!$C:$C,المنتجات!$C$23)/E25)</f>
        <v/>
      </c>
      <c r="G25" s="53" t="str">
        <f>IF(E25="","",SUMIFS('إدخال المبيعات'!$F:$F,'إدخال المبيعات'!$C:$C,المنتجات!$C$23)/E25)</f>
        <v/>
      </c>
      <c r="H25" s="40" t="str">
        <f t="shared" si="1"/>
        <v/>
      </c>
      <c r="I25" s="40" t="str">
        <f t="shared" si="2"/>
        <v/>
      </c>
      <c r="J25" s="40" t="str">
        <f>IF(OR(H25="",F25="",F25=0),"",H25*(IFERROR(G25/F25,0)-IFERROR('تقرير المنتجات'!$E$23,0)))</f>
        <v/>
      </c>
      <c r="K25" s="29" t="str">
        <f>IF(المنتجات!$C$23="","",'تقرير المنتجات'!$K$23)</f>
        <v/>
      </c>
      <c r="L25" s="54" t="str">
        <f t="shared" si="3"/>
        <v/>
      </c>
    </row>
    <row r="26" spans="2:12" x14ac:dyDescent="0.3">
      <c r="B26" s="26">
        <f>المنتجات!$C$24</f>
        <v>0</v>
      </c>
      <c r="C26" s="55" t="str">
        <f>IF(المنتجات!$C$24="","",IF(المنتجات!$D$24&lt;&gt;"",المنتجات!$D$24,IFERROR(_xlfn.MINIFS('إدخال المبيعات'!$B:$B,'إدخال المبيعات'!$C:$C,المنتجات!$C$24),"")))</f>
        <v/>
      </c>
      <c r="D26" s="55" t="str">
        <f>IF(المنتجات!$C$24="","",IFERROR(_xlfn.MAXIFS('إدخال المبيعات'!$B:$B,'إدخال المبيعات'!$C:$C,المنتجات!$C$24),""))</f>
        <v/>
      </c>
      <c r="E26" s="31" t="str">
        <f t="shared" si="0"/>
        <v/>
      </c>
      <c r="F26" s="56" t="str">
        <f>IF(E26="","",SUMIFS('إدخال المبيعات'!$D:$D,'إدخال المبيعات'!$C:$C,المنتجات!$C$24)/E26)</f>
        <v/>
      </c>
      <c r="G26" s="56" t="str">
        <f>IF(E26="","",SUMIFS('إدخال المبيعات'!$F:$F,'إدخال المبيعات'!$C:$C,المنتجات!$C$24)/E26)</f>
        <v/>
      </c>
      <c r="H26" s="44" t="str">
        <f t="shared" si="1"/>
        <v/>
      </c>
      <c r="I26" s="44" t="str">
        <f t="shared" si="2"/>
        <v/>
      </c>
      <c r="J26" s="44" t="str">
        <f>IF(OR(H26="",F26="",F26=0),"",H26*(IFERROR(G26/F26,0)-IFERROR('تقرير المنتجات'!$E$24,0)))</f>
        <v/>
      </c>
      <c r="K26" s="31" t="str">
        <f>IF(المنتجات!$C$24="","",'تقرير المنتجات'!$K$24)</f>
        <v/>
      </c>
      <c r="L26" s="57" t="str">
        <f t="shared" si="3"/>
        <v/>
      </c>
    </row>
    <row r="27" spans="2:12" x14ac:dyDescent="0.3">
      <c r="B27" s="22">
        <f>المنتجات!$C$25</f>
        <v>0</v>
      </c>
      <c r="C27" s="52" t="str">
        <f>IF(المنتجات!$C$25="","",IF(المنتجات!$D$25&lt;&gt;"",المنتجات!$D$25,IFERROR(_xlfn.MINIFS('إدخال المبيعات'!$B:$B,'إدخال المبيعات'!$C:$C,المنتجات!$C$25),"")))</f>
        <v/>
      </c>
      <c r="D27" s="52" t="str">
        <f>IF(المنتجات!$C$25="","",IFERROR(_xlfn.MAXIFS('إدخال المبيعات'!$B:$B,'إدخال المبيعات'!$C:$C,المنتجات!$C$25),""))</f>
        <v/>
      </c>
      <c r="E27" s="29" t="str">
        <f t="shared" si="0"/>
        <v/>
      </c>
      <c r="F27" s="53" t="str">
        <f>IF(E27="","",SUMIFS('إدخال المبيعات'!$D:$D,'إدخال المبيعات'!$C:$C,المنتجات!$C$25)/E27)</f>
        <v/>
      </c>
      <c r="G27" s="53" t="str">
        <f>IF(E27="","",SUMIFS('إدخال المبيعات'!$F:$F,'إدخال المبيعات'!$C:$C,المنتجات!$C$25)/E27)</f>
        <v/>
      </c>
      <c r="H27" s="40" t="str">
        <f t="shared" si="1"/>
        <v/>
      </c>
      <c r="I27" s="40" t="str">
        <f t="shared" si="2"/>
        <v/>
      </c>
      <c r="J27" s="40" t="str">
        <f>IF(OR(H27="",F27="",F27=0),"",H27*(IFERROR(G27/F27,0)-IFERROR('تقرير المنتجات'!$E$25,0)))</f>
        <v/>
      </c>
      <c r="K27" s="29" t="str">
        <f>IF(المنتجات!$C$25="","",'تقرير المنتجات'!$K$25)</f>
        <v/>
      </c>
      <c r="L27" s="54" t="str">
        <f t="shared" si="3"/>
        <v/>
      </c>
    </row>
    <row r="28" spans="2:12" x14ac:dyDescent="0.3">
      <c r="B28" s="26">
        <f>المنتجات!$C$26</f>
        <v>0</v>
      </c>
      <c r="C28" s="55" t="str">
        <f>IF(المنتجات!$C$26="","",IF(المنتجات!$D$26&lt;&gt;"",المنتجات!$D$26,IFERROR(_xlfn.MINIFS('إدخال المبيعات'!$B:$B,'إدخال المبيعات'!$C:$C,المنتجات!$C$26),"")))</f>
        <v/>
      </c>
      <c r="D28" s="55" t="str">
        <f>IF(المنتجات!$C$26="","",IFERROR(_xlfn.MAXIFS('إدخال المبيعات'!$B:$B,'إدخال المبيعات'!$C:$C,المنتجات!$C$26),""))</f>
        <v/>
      </c>
      <c r="E28" s="31" t="str">
        <f t="shared" si="0"/>
        <v/>
      </c>
      <c r="F28" s="56" t="str">
        <f>IF(E28="","",SUMIFS('إدخال المبيعات'!$D:$D,'إدخال المبيعات'!$C:$C,المنتجات!$C$26)/E28)</f>
        <v/>
      </c>
      <c r="G28" s="56" t="str">
        <f>IF(E28="","",SUMIFS('إدخال المبيعات'!$F:$F,'إدخال المبيعات'!$C:$C,المنتجات!$C$26)/E28)</f>
        <v/>
      </c>
      <c r="H28" s="44" t="str">
        <f t="shared" si="1"/>
        <v/>
      </c>
      <c r="I28" s="44" t="str">
        <f t="shared" si="2"/>
        <v/>
      </c>
      <c r="J28" s="44" t="str">
        <f>IF(OR(H28="",F28="",F28=0),"",H28*(IFERROR(G28/F28,0)-IFERROR('تقرير المنتجات'!$E$26,0)))</f>
        <v/>
      </c>
      <c r="K28" s="31" t="str">
        <f>IF(المنتجات!$C$26="","",'تقرير المنتجات'!$K$26)</f>
        <v/>
      </c>
      <c r="L28" s="57" t="str">
        <f t="shared" si="3"/>
        <v/>
      </c>
    </row>
    <row r="29" spans="2:12" x14ac:dyDescent="0.3">
      <c r="B29" s="22">
        <f>المنتجات!$C$27</f>
        <v>0</v>
      </c>
      <c r="C29" s="52" t="str">
        <f>IF(المنتجات!$C$27="","",IF(المنتجات!$D$27&lt;&gt;"",المنتجات!$D$27,IFERROR(_xlfn.MINIFS('إدخال المبيعات'!$B:$B,'إدخال المبيعات'!$C:$C,المنتجات!$C$27),"")))</f>
        <v/>
      </c>
      <c r="D29" s="52" t="str">
        <f>IF(المنتجات!$C$27="","",IFERROR(_xlfn.MAXIFS('إدخال المبيعات'!$B:$B,'إدخال المبيعات'!$C:$C,المنتجات!$C$27),""))</f>
        <v/>
      </c>
      <c r="E29" s="29" t="str">
        <f t="shared" si="0"/>
        <v/>
      </c>
      <c r="F29" s="53" t="str">
        <f>IF(E29="","",SUMIFS('إدخال المبيعات'!$D:$D,'إدخال المبيعات'!$C:$C,المنتجات!$C$27)/E29)</f>
        <v/>
      </c>
      <c r="G29" s="53" t="str">
        <f>IF(E29="","",SUMIFS('إدخال المبيعات'!$F:$F,'إدخال المبيعات'!$C:$C,المنتجات!$C$27)/E29)</f>
        <v/>
      </c>
      <c r="H29" s="40" t="str">
        <f t="shared" si="1"/>
        <v/>
      </c>
      <c r="I29" s="40" t="str">
        <f t="shared" si="2"/>
        <v/>
      </c>
      <c r="J29" s="40" t="str">
        <f>IF(OR(H29="",F29="",F29=0),"",H29*(IFERROR(G29/F29,0)-IFERROR('تقرير المنتجات'!$E$27,0)))</f>
        <v/>
      </c>
      <c r="K29" s="29" t="str">
        <f>IF(المنتجات!$C$27="","",'تقرير المنتجات'!$K$27)</f>
        <v/>
      </c>
      <c r="L29" s="54" t="str">
        <f t="shared" si="3"/>
        <v/>
      </c>
    </row>
    <row r="30" spans="2:12" x14ac:dyDescent="0.3">
      <c r="B30" s="26">
        <f>المنتجات!$C$28</f>
        <v>0</v>
      </c>
      <c r="C30" s="55" t="str">
        <f>IF(المنتجات!$C$28="","",IF(المنتجات!$D$28&lt;&gt;"",المنتجات!$D$28,IFERROR(_xlfn.MINIFS('إدخال المبيعات'!$B:$B,'إدخال المبيعات'!$C:$C,المنتجات!$C$28),"")))</f>
        <v/>
      </c>
      <c r="D30" s="55" t="str">
        <f>IF(المنتجات!$C$28="","",IFERROR(_xlfn.MAXIFS('إدخال المبيعات'!$B:$B,'إدخال المبيعات'!$C:$C,المنتجات!$C$28),""))</f>
        <v/>
      </c>
      <c r="E30" s="31" t="str">
        <f t="shared" si="0"/>
        <v/>
      </c>
      <c r="F30" s="56" t="str">
        <f>IF(E30="","",SUMIFS('إدخال المبيعات'!$D:$D,'إدخال المبيعات'!$C:$C,المنتجات!$C$28)/E30)</f>
        <v/>
      </c>
      <c r="G30" s="56" t="str">
        <f>IF(E30="","",SUMIFS('إدخال المبيعات'!$F:$F,'إدخال المبيعات'!$C:$C,المنتجات!$C$28)/E30)</f>
        <v/>
      </c>
      <c r="H30" s="44" t="str">
        <f t="shared" si="1"/>
        <v/>
      </c>
      <c r="I30" s="44" t="str">
        <f t="shared" si="2"/>
        <v/>
      </c>
      <c r="J30" s="44" t="str">
        <f>IF(OR(H30="",F30="",F30=0),"",H30*(IFERROR(G30/F30,0)-IFERROR('تقرير المنتجات'!$E$28,0)))</f>
        <v/>
      </c>
      <c r="K30" s="31" t="str">
        <f>IF(المنتجات!$C$28="","",'تقرير المنتجات'!$K$28)</f>
        <v/>
      </c>
      <c r="L30" s="57" t="str">
        <f t="shared" si="3"/>
        <v/>
      </c>
    </row>
    <row r="31" spans="2:12" x14ac:dyDescent="0.3">
      <c r="B31" s="22">
        <f>المنتجات!$C$29</f>
        <v>0</v>
      </c>
      <c r="C31" s="52" t="str">
        <f>IF(المنتجات!$C$29="","",IF(المنتجات!$D$29&lt;&gt;"",المنتجات!$D$29,IFERROR(_xlfn.MINIFS('إدخال المبيعات'!$B:$B,'إدخال المبيعات'!$C:$C,المنتجات!$C$29),"")))</f>
        <v/>
      </c>
      <c r="D31" s="52" t="str">
        <f>IF(المنتجات!$C$29="","",IFERROR(_xlfn.MAXIFS('إدخال المبيعات'!$B:$B,'إدخال المبيعات'!$C:$C,المنتجات!$C$29),""))</f>
        <v/>
      </c>
      <c r="E31" s="29" t="str">
        <f t="shared" si="0"/>
        <v/>
      </c>
      <c r="F31" s="53" t="str">
        <f>IF(E31="","",SUMIFS('إدخال المبيعات'!$D:$D,'إدخال المبيعات'!$C:$C,المنتجات!$C$29)/E31)</f>
        <v/>
      </c>
      <c r="G31" s="53" t="str">
        <f>IF(E31="","",SUMIFS('إدخال المبيعات'!$F:$F,'إدخال المبيعات'!$C:$C,المنتجات!$C$29)/E31)</f>
        <v/>
      </c>
      <c r="H31" s="40" t="str">
        <f t="shared" si="1"/>
        <v/>
      </c>
      <c r="I31" s="40" t="str">
        <f t="shared" si="2"/>
        <v/>
      </c>
      <c r="J31" s="40" t="str">
        <f>IF(OR(H31="",F31="",F31=0),"",H31*(IFERROR(G31/F31,0)-IFERROR('تقرير المنتجات'!$E$29,0)))</f>
        <v/>
      </c>
      <c r="K31" s="29" t="str">
        <f>IF(المنتجات!$C$29="","",'تقرير المنتجات'!$K$29)</f>
        <v/>
      </c>
      <c r="L31" s="54" t="str">
        <f t="shared" si="3"/>
        <v/>
      </c>
    </row>
    <row r="32" spans="2:12" x14ac:dyDescent="0.3">
      <c r="B32" s="26">
        <f>المنتجات!$C$30</f>
        <v>0</v>
      </c>
      <c r="C32" s="55" t="str">
        <f>IF(المنتجات!$C$30="","",IF(المنتجات!$D$30&lt;&gt;"",المنتجات!$D$30,IFERROR(_xlfn.MINIFS('إدخال المبيعات'!$B:$B,'إدخال المبيعات'!$C:$C,المنتجات!$C$30),"")))</f>
        <v/>
      </c>
      <c r="D32" s="55" t="str">
        <f>IF(المنتجات!$C$30="","",IFERROR(_xlfn.MAXIFS('إدخال المبيعات'!$B:$B,'إدخال المبيعات'!$C:$C,المنتجات!$C$30),""))</f>
        <v/>
      </c>
      <c r="E32" s="31" t="str">
        <f t="shared" si="0"/>
        <v/>
      </c>
      <c r="F32" s="56" t="str">
        <f>IF(E32="","",SUMIFS('إدخال المبيعات'!$D:$D,'إدخال المبيعات'!$C:$C,المنتجات!$C$30)/E32)</f>
        <v/>
      </c>
      <c r="G32" s="56" t="str">
        <f>IF(E32="","",SUMIFS('إدخال المبيعات'!$F:$F,'إدخال المبيعات'!$C:$C,المنتجات!$C$30)/E32)</f>
        <v/>
      </c>
      <c r="H32" s="44" t="str">
        <f t="shared" si="1"/>
        <v/>
      </c>
      <c r="I32" s="44" t="str">
        <f t="shared" si="2"/>
        <v/>
      </c>
      <c r="J32" s="44" t="str">
        <f>IF(OR(H32="",F32="",F32=0),"",H32*(IFERROR(G32/F32,0)-IFERROR('تقرير المنتجات'!$E$30,0)))</f>
        <v/>
      </c>
      <c r="K32" s="31" t="str">
        <f>IF(المنتجات!$C$30="","",'تقرير المنتجات'!$K$30)</f>
        <v/>
      </c>
      <c r="L32" s="57" t="str">
        <f t="shared" si="3"/>
        <v/>
      </c>
    </row>
    <row r="33" spans="2:12" x14ac:dyDescent="0.3">
      <c r="B33" s="22">
        <f>المنتجات!$C$31</f>
        <v>0</v>
      </c>
      <c r="C33" s="52" t="str">
        <f>IF(المنتجات!$C$31="","",IF(المنتجات!$D$31&lt;&gt;"",المنتجات!$D$31,IFERROR(_xlfn.MINIFS('إدخال المبيعات'!$B:$B,'إدخال المبيعات'!$C:$C,المنتجات!$C$31),"")))</f>
        <v/>
      </c>
      <c r="D33" s="52" t="str">
        <f>IF(المنتجات!$C$31="","",IFERROR(_xlfn.MAXIFS('إدخال المبيعات'!$B:$B,'إدخال المبيعات'!$C:$C,المنتجات!$C$31),""))</f>
        <v/>
      </c>
      <c r="E33" s="29" t="str">
        <f t="shared" si="0"/>
        <v/>
      </c>
      <c r="F33" s="53" t="str">
        <f>IF(E33="","",SUMIFS('إدخال المبيعات'!$D:$D,'إدخال المبيعات'!$C:$C,المنتجات!$C$31)/E33)</f>
        <v/>
      </c>
      <c r="G33" s="53" t="str">
        <f>IF(E33="","",SUMIFS('إدخال المبيعات'!$F:$F,'إدخال المبيعات'!$C:$C,المنتجات!$C$31)/E33)</f>
        <v/>
      </c>
      <c r="H33" s="40" t="str">
        <f t="shared" si="1"/>
        <v/>
      </c>
      <c r="I33" s="40" t="str">
        <f t="shared" si="2"/>
        <v/>
      </c>
      <c r="J33" s="40" t="str">
        <f>IF(OR(H33="",F33="",F33=0),"",H33*(IFERROR(G33/F33,0)-IFERROR('تقرير المنتجات'!$E$31,0)))</f>
        <v/>
      </c>
      <c r="K33" s="29" t="str">
        <f>IF(المنتجات!$C$31="","",'تقرير المنتجات'!$K$31)</f>
        <v/>
      </c>
      <c r="L33" s="54" t="str">
        <f t="shared" si="3"/>
        <v/>
      </c>
    </row>
    <row r="34" spans="2:12" x14ac:dyDescent="0.3">
      <c r="B34" s="26">
        <f>المنتجات!$C$32</f>
        <v>0</v>
      </c>
      <c r="C34" s="55" t="str">
        <f>IF(المنتجات!$C$32="","",IF(المنتجات!$D$32&lt;&gt;"",المنتجات!$D$32,IFERROR(_xlfn.MINIFS('إدخال المبيعات'!$B:$B,'إدخال المبيعات'!$C:$C,المنتجات!$C$32),"")))</f>
        <v/>
      </c>
      <c r="D34" s="55" t="str">
        <f>IF(المنتجات!$C$32="","",IFERROR(_xlfn.MAXIFS('إدخال المبيعات'!$B:$B,'إدخال المبيعات'!$C:$C,المنتجات!$C$32),""))</f>
        <v/>
      </c>
      <c r="E34" s="31" t="str">
        <f t="shared" si="0"/>
        <v/>
      </c>
      <c r="F34" s="56" t="str">
        <f>IF(E34="","",SUMIFS('إدخال المبيعات'!$D:$D,'إدخال المبيعات'!$C:$C,المنتجات!$C$32)/E34)</f>
        <v/>
      </c>
      <c r="G34" s="56" t="str">
        <f>IF(E34="","",SUMIFS('إدخال المبيعات'!$F:$F,'إدخال المبيعات'!$C:$C,المنتجات!$C$32)/E34)</f>
        <v/>
      </c>
      <c r="H34" s="44" t="str">
        <f t="shared" si="1"/>
        <v/>
      </c>
      <c r="I34" s="44" t="str">
        <f t="shared" si="2"/>
        <v/>
      </c>
      <c r="J34" s="44" t="str">
        <f>IF(OR(H34="",F34="",F34=0),"",H34*(IFERROR(G34/F34,0)-IFERROR('تقرير المنتجات'!$E$32,0)))</f>
        <v/>
      </c>
      <c r="K34" s="31" t="str">
        <f>IF(المنتجات!$C$32="","",'تقرير المنتجات'!$K$32)</f>
        <v/>
      </c>
      <c r="L34" s="57" t="str">
        <f t="shared" si="3"/>
        <v/>
      </c>
    </row>
    <row r="35" spans="2:12" x14ac:dyDescent="0.3">
      <c r="B35" s="22">
        <f>المنتجات!$C$33</f>
        <v>0</v>
      </c>
      <c r="C35" s="52" t="str">
        <f>IF(المنتجات!$C$33="","",IF(المنتجات!$D$33&lt;&gt;"",المنتجات!$D$33,IFERROR(_xlfn.MINIFS('إدخال المبيعات'!$B:$B,'إدخال المبيعات'!$C:$C,المنتجات!$C$33),"")))</f>
        <v/>
      </c>
      <c r="D35" s="52" t="str">
        <f>IF(المنتجات!$C$33="","",IFERROR(_xlfn.MAXIFS('إدخال المبيعات'!$B:$B,'إدخال المبيعات'!$C:$C,المنتجات!$C$33),""))</f>
        <v/>
      </c>
      <c r="E35" s="29" t="str">
        <f t="shared" si="0"/>
        <v/>
      </c>
      <c r="F35" s="53" t="str">
        <f>IF(E35="","",SUMIFS('إدخال المبيعات'!$D:$D,'إدخال المبيعات'!$C:$C,المنتجات!$C$33)/E35)</f>
        <v/>
      </c>
      <c r="G35" s="53" t="str">
        <f>IF(E35="","",SUMIFS('إدخال المبيعات'!$F:$F,'إدخال المبيعات'!$C:$C,المنتجات!$C$33)/E35)</f>
        <v/>
      </c>
      <c r="H35" s="40" t="str">
        <f t="shared" si="1"/>
        <v/>
      </c>
      <c r="I35" s="40" t="str">
        <f t="shared" si="2"/>
        <v/>
      </c>
      <c r="J35" s="40" t="str">
        <f>IF(OR(H35="",F35="",F35=0),"",H35*(IFERROR(G35/F35,0)-IFERROR('تقرير المنتجات'!$E$33,0)))</f>
        <v/>
      </c>
      <c r="K35" s="29" t="str">
        <f>IF(المنتجات!$C$33="","",'تقرير المنتجات'!$K$33)</f>
        <v/>
      </c>
      <c r="L35" s="54" t="str">
        <f t="shared" si="3"/>
        <v/>
      </c>
    </row>
    <row r="36" spans="2:12" x14ac:dyDescent="0.3">
      <c r="B36" s="26">
        <f>المنتجات!$C$34</f>
        <v>0</v>
      </c>
      <c r="C36" s="55" t="str">
        <f>IF(المنتجات!$C$34="","",IF(المنتجات!$D$34&lt;&gt;"",المنتجات!$D$34,IFERROR(_xlfn.MINIFS('إدخال المبيعات'!$B:$B,'إدخال المبيعات'!$C:$C,المنتجات!$C$34),"")))</f>
        <v/>
      </c>
      <c r="D36" s="55" t="str">
        <f>IF(المنتجات!$C$34="","",IFERROR(_xlfn.MAXIFS('إدخال المبيعات'!$B:$B,'إدخال المبيعات'!$C:$C,المنتجات!$C$34),""))</f>
        <v/>
      </c>
      <c r="E36" s="31" t="str">
        <f t="shared" si="0"/>
        <v/>
      </c>
      <c r="F36" s="56" t="str">
        <f>IF(E36="","",SUMIFS('إدخال المبيعات'!$D:$D,'إدخال المبيعات'!$C:$C,المنتجات!$C$34)/E36)</f>
        <v/>
      </c>
      <c r="G36" s="56" t="str">
        <f>IF(E36="","",SUMIFS('إدخال المبيعات'!$F:$F,'إدخال المبيعات'!$C:$C,المنتجات!$C$34)/E36)</f>
        <v/>
      </c>
      <c r="H36" s="44" t="str">
        <f t="shared" si="1"/>
        <v/>
      </c>
      <c r="I36" s="44" t="str">
        <f t="shared" si="2"/>
        <v/>
      </c>
      <c r="J36" s="44" t="str">
        <f>IF(OR(H36="",F36="",F36=0),"",H36*(IFERROR(G36/F36,0)-IFERROR('تقرير المنتجات'!$E$34,0)))</f>
        <v/>
      </c>
      <c r="K36" s="31" t="str">
        <f>IF(المنتجات!$C$34="","",'تقرير المنتجات'!$K$34)</f>
        <v/>
      </c>
      <c r="L36" s="57" t="str">
        <f t="shared" si="3"/>
        <v/>
      </c>
    </row>
    <row r="38" spans="2:12" ht="39.75" customHeight="1" x14ac:dyDescent="0.3">
      <c r="B38" s="2" t="s">
        <v>87</v>
      </c>
      <c r="C38" s="2"/>
      <c r="D38" s="2"/>
      <c r="E38" s="2"/>
      <c r="F38" s="2"/>
      <c r="G38" s="2"/>
      <c r="H38" s="2"/>
      <c r="I38" s="2"/>
      <c r="J38" s="2"/>
      <c r="K38" s="2"/>
      <c r="L38" s="2"/>
    </row>
  </sheetData>
  <mergeCells count="4">
    <mergeCell ref="B1:K1"/>
    <mergeCell ref="B2:K2"/>
    <mergeCell ref="B4:D4"/>
    <mergeCell ref="B38:L38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F27"/>
  <sheetViews>
    <sheetView showGridLines="0" rightToLeft="1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E9" sqref="E9"/>
    </sheetView>
  </sheetViews>
  <sheetFormatPr defaultColWidth="8.6640625" defaultRowHeight="14.4" x14ac:dyDescent="0.3"/>
  <cols>
    <col min="1" max="1" width="3" customWidth="1"/>
    <col min="2" max="2" width="12" customWidth="1"/>
    <col min="3" max="4" width="16" customWidth="1"/>
    <col min="5" max="5" width="18" customWidth="1"/>
  </cols>
  <sheetData>
    <row r="1" spans="2:6" ht="21" x14ac:dyDescent="0.3">
      <c r="B1" s="9" t="s">
        <v>88</v>
      </c>
      <c r="C1" s="9"/>
      <c r="D1" s="9"/>
      <c r="E1" s="9"/>
      <c r="F1" s="9"/>
    </row>
    <row r="2" spans="2:6" x14ac:dyDescent="0.3">
      <c r="B2" s="8" t="s">
        <v>89</v>
      </c>
      <c r="C2" s="8"/>
      <c r="D2" s="8"/>
      <c r="E2" s="8"/>
      <c r="F2" s="8"/>
    </row>
    <row r="4" spans="2:6" ht="27.6" x14ac:dyDescent="0.3">
      <c r="B4" s="10" t="s">
        <v>90</v>
      </c>
      <c r="C4" s="58">
        <v>46174</v>
      </c>
    </row>
    <row r="6" spans="2:6" ht="27.6" x14ac:dyDescent="0.3">
      <c r="B6" s="35" t="s">
        <v>91</v>
      </c>
      <c r="C6" s="35" t="s">
        <v>92</v>
      </c>
      <c r="D6" s="35" t="s">
        <v>93</v>
      </c>
      <c r="E6" s="35" t="s">
        <v>94</v>
      </c>
    </row>
    <row r="7" spans="2:6" x14ac:dyDescent="0.3">
      <c r="B7" s="59">
        <f>$C$4</f>
        <v>46174</v>
      </c>
      <c r="C7" s="29">
        <f>SUMIFS('إدخال المبيعات'!$F:$F,'إدخال المبيعات'!$B:$B,"&gt;="&amp;B7,'إدخال المبيعات'!$B:$B,"&lt;"&amp;EDATE(B7,1))</f>
        <v>0</v>
      </c>
      <c r="D7" s="29">
        <f>SUMIFS('إدخال المشتريات'!$F:$F,'إدخال المشتريات'!$B:$B,"&gt;="&amp;B7,'إدخال المشتريات'!$B:$B,"&lt;"&amp;EDATE(B7,1))</f>
        <v>873550</v>
      </c>
      <c r="E7" s="40">
        <f t="shared" ref="E7:E24" si="0">C7-D7</f>
        <v>-873550</v>
      </c>
    </row>
    <row r="8" spans="2:6" x14ac:dyDescent="0.3">
      <c r="B8" s="60">
        <f t="shared" ref="B8:B24" si="1">EDATE(B7,1)</f>
        <v>46204</v>
      </c>
      <c r="C8" s="31">
        <f>SUMIFS('إدخال المبيعات'!$F:$F,'إدخال المبيعات'!$B:$B,"&gt;="&amp;B8,'إدخال المبيعات'!$B:$B,"&lt;"&amp;EDATE(B8,1))</f>
        <v>2131213.0300000003</v>
      </c>
      <c r="D8" s="31">
        <f>SUMIFS('إدخال المشتريات'!$F:$F,'إدخال المشتريات'!$B:$B,"&gt;="&amp;B8,'إدخال المشتريات'!$B:$B,"&lt;"&amp;EDATE(B8,1))</f>
        <v>1384640</v>
      </c>
      <c r="E8" s="44">
        <f t="shared" si="0"/>
        <v>746573.03000000026</v>
      </c>
    </row>
    <row r="9" spans="2:6" x14ac:dyDescent="0.3">
      <c r="B9" s="59">
        <f t="shared" si="1"/>
        <v>46235</v>
      </c>
      <c r="C9" s="29">
        <f>SUMIFS('إدخال المبيعات'!$F:$F,'إدخال المبيعات'!$B:$B,"&gt;="&amp;B9,'إدخال المبيعات'!$B:$B,"&lt;"&amp;EDATE(B9,1))</f>
        <v>443340.3</v>
      </c>
      <c r="D9" s="29">
        <f>SUMIFS('إدخال المشتريات'!$F:$F,'إدخال المشتريات'!$B:$B,"&gt;="&amp;B9,'إدخال المشتريات'!$B:$B,"&lt;"&amp;EDATE(B9,1))</f>
        <v>927200</v>
      </c>
      <c r="E9" s="40">
        <f t="shared" si="0"/>
        <v>-483859.7</v>
      </c>
    </row>
    <row r="10" spans="2:6" x14ac:dyDescent="0.3">
      <c r="B10" s="60">
        <f t="shared" si="1"/>
        <v>46266</v>
      </c>
      <c r="C10" s="31">
        <f>SUMIFS('إدخال المبيعات'!$F:$F,'إدخال المبيعات'!$B:$B,"&gt;="&amp;B10,'إدخال المبيعات'!$B:$B,"&lt;"&amp;EDATE(B10,1))</f>
        <v>0</v>
      </c>
      <c r="D10" s="31">
        <f>SUMIFS('إدخال المشتريات'!$F:$F,'إدخال المشتريات'!$B:$B,"&gt;="&amp;B10,'إدخال المشتريات'!$B:$B,"&lt;"&amp;EDATE(B10,1))</f>
        <v>0</v>
      </c>
      <c r="E10" s="44">
        <f t="shared" si="0"/>
        <v>0</v>
      </c>
    </row>
    <row r="11" spans="2:6" x14ac:dyDescent="0.3">
      <c r="B11" s="59">
        <f t="shared" si="1"/>
        <v>46296</v>
      </c>
      <c r="C11" s="29">
        <f>SUMIFS('إدخال المبيعات'!$F:$F,'إدخال المبيعات'!$B:$B,"&gt;="&amp;B11,'إدخال المبيعات'!$B:$B,"&lt;"&amp;EDATE(B11,1))</f>
        <v>0</v>
      </c>
      <c r="D11" s="29">
        <f>SUMIFS('إدخال المشتريات'!$F:$F,'إدخال المشتريات'!$B:$B,"&gt;="&amp;B11,'إدخال المشتريات'!$B:$B,"&lt;"&amp;EDATE(B11,1))</f>
        <v>0</v>
      </c>
      <c r="E11" s="40">
        <f t="shared" si="0"/>
        <v>0</v>
      </c>
    </row>
    <row r="12" spans="2:6" x14ac:dyDescent="0.3">
      <c r="B12" s="60">
        <f t="shared" si="1"/>
        <v>46327</v>
      </c>
      <c r="C12" s="31">
        <f>SUMIFS('إدخال المبيعات'!$F:$F,'إدخال المبيعات'!$B:$B,"&gt;="&amp;B12,'إدخال المبيعات'!$B:$B,"&lt;"&amp;EDATE(B12,1))</f>
        <v>0</v>
      </c>
      <c r="D12" s="31">
        <f>SUMIFS('إدخال المشتريات'!$F:$F,'إدخال المشتريات'!$B:$B,"&gt;="&amp;B12,'إدخال المشتريات'!$B:$B,"&lt;"&amp;EDATE(B12,1))</f>
        <v>0</v>
      </c>
      <c r="E12" s="44">
        <f t="shared" si="0"/>
        <v>0</v>
      </c>
    </row>
    <row r="13" spans="2:6" x14ac:dyDescent="0.3">
      <c r="B13" s="59">
        <f t="shared" si="1"/>
        <v>46357</v>
      </c>
      <c r="C13" s="29">
        <f>SUMIFS('إدخال المبيعات'!$F:$F,'إدخال المبيعات'!$B:$B,"&gt;="&amp;B13,'إدخال المبيعات'!$B:$B,"&lt;"&amp;EDATE(B13,1))</f>
        <v>0</v>
      </c>
      <c r="D13" s="29">
        <f>SUMIFS('إدخال المشتريات'!$F:$F,'إدخال المشتريات'!$B:$B,"&gt;="&amp;B13,'إدخال المشتريات'!$B:$B,"&lt;"&amp;EDATE(B13,1))</f>
        <v>0</v>
      </c>
      <c r="E13" s="40">
        <f t="shared" si="0"/>
        <v>0</v>
      </c>
    </row>
    <row r="14" spans="2:6" x14ac:dyDescent="0.3">
      <c r="B14" s="60">
        <f t="shared" si="1"/>
        <v>46388</v>
      </c>
      <c r="C14" s="31">
        <f>SUMIFS('إدخال المبيعات'!$F:$F,'إدخال المبيعات'!$B:$B,"&gt;="&amp;B14,'إدخال المبيعات'!$B:$B,"&lt;"&amp;EDATE(B14,1))</f>
        <v>0</v>
      </c>
      <c r="D14" s="31">
        <f>SUMIFS('إدخال المشتريات'!$F:$F,'إدخال المشتريات'!$B:$B,"&gt;="&amp;B14,'إدخال المشتريات'!$B:$B,"&lt;"&amp;EDATE(B14,1))</f>
        <v>0</v>
      </c>
      <c r="E14" s="44">
        <f t="shared" si="0"/>
        <v>0</v>
      </c>
    </row>
    <row r="15" spans="2:6" x14ac:dyDescent="0.3">
      <c r="B15" s="59">
        <f t="shared" si="1"/>
        <v>46419</v>
      </c>
      <c r="C15" s="29">
        <f>SUMIFS('إدخال المبيعات'!$F:$F,'إدخال المبيعات'!$B:$B,"&gt;="&amp;B15,'إدخال المبيعات'!$B:$B,"&lt;"&amp;EDATE(B15,1))</f>
        <v>0</v>
      </c>
      <c r="D15" s="29">
        <f>SUMIFS('إدخال المشتريات'!$F:$F,'إدخال المشتريات'!$B:$B,"&gt;="&amp;B15,'إدخال المشتريات'!$B:$B,"&lt;"&amp;EDATE(B15,1))</f>
        <v>0</v>
      </c>
      <c r="E15" s="40">
        <f t="shared" si="0"/>
        <v>0</v>
      </c>
    </row>
    <row r="16" spans="2:6" x14ac:dyDescent="0.3">
      <c r="B16" s="60">
        <f t="shared" si="1"/>
        <v>46447</v>
      </c>
      <c r="C16" s="31">
        <f>SUMIFS('إدخال المبيعات'!$F:$F,'إدخال المبيعات'!$B:$B,"&gt;="&amp;B16,'إدخال المبيعات'!$B:$B,"&lt;"&amp;EDATE(B16,1))</f>
        <v>0</v>
      </c>
      <c r="D16" s="31">
        <f>SUMIFS('إدخال المشتريات'!$F:$F,'إدخال المشتريات'!$B:$B,"&gt;="&amp;B16,'إدخال المشتريات'!$B:$B,"&lt;"&amp;EDATE(B16,1))</f>
        <v>0</v>
      </c>
      <c r="E16" s="44">
        <f t="shared" si="0"/>
        <v>0</v>
      </c>
    </row>
    <row r="17" spans="2:5" x14ac:dyDescent="0.3">
      <c r="B17" s="59">
        <f t="shared" si="1"/>
        <v>46478</v>
      </c>
      <c r="C17" s="29">
        <f>SUMIFS('إدخال المبيعات'!$F:$F,'إدخال المبيعات'!$B:$B,"&gt;="&amp;B17,'إدخال المبيعات'!$B:$B,"&lt;"&amp;EDATE(B17,1))</f>
        <v>0</v>
      </c>
      <c r="D17" s="29">
        <f>SUMIFS('إدخال المشتريات'!$F:$F,'إدخال المشتريات'!$B:$B,"&gt;="&amp;B17,'إدخال المشتريات'!$B:$B,"&lt;"&amp;EDATE(B17,1))</f>
        <v>0</v>
      </c>
      <c r="E17" s="40">
        <f t="shared" si="0"/>
        <v>0</v>
      </c>
    </row>
    <row r="18" spans="2:5" x14ac:dyDescent="0.3">
      <c r="B18" s="60">
        <f t="shared" si="1"/>
        <v>46508</v>
      </c>
      <c r="C18" s="31">
        <f>SUMIFS('إدخال المبيعات'!$F:$F,'إدخال المبيعات'!$B:$B,"&gt;="&amp;B18,'إدخال المبيعات'!$B:$B,"&lt;"&amp;EDATE(B18,1))</f>
        <v>0</v>
      </c>
      <c r="D18" s="31">
        <f>SUMIFS('إدخال المشتريات'!$F:$F,'إدخال المشتريات'!$B:$B,"&gt;="&amp;B18,'إدخال المشتريات'!$B:$B,"&lt;"&amp;EDATE(B18,1))</f>
        <v>0</v>
      </c>
      <c r="E18" s="44">
        <f t="shared" si="0"/>
        <v>0</v>
      </c>
    </row>
    <row r="19" spans="2:5" x14ac:dyDescent="0.3">
      <c r="B19" s="59">
        <f t="shared" si="1"/>
        <v>46539</v>
      </c>
      <c r="C19" s="29">
        <f>SUMIFS('إدخال المبيعات'!$F:$F,'إدخال المبيعات'!$B:$B,"&gt;="&amp;B19,'إدخال المبيعات'!$B:$B,"&lt;"&amp;EDATE(B19,1))</f>
        <v>0</v>
      </c>
      <c r="D19" s="29">
        <f>SUMIFS('إدخال المشتريات'!$F:$F,'إدخال المشتريات'!$B:$B,"&gt;="&amp;B19,'إدخال المشتريات'!$B:$B,"&lt;"&amp;EDATE(B19,1))</f>
        <v>0</v>
      </c>
      <c r="E19" s="40">
        <f t="shared" si="0"/>
        <v>0</v>
      </c>
    </row>
    <row r="20" spans="2:5" x14ac:dyDescent="0.3">
      <c r="B20" s="60">
        <f t="shared" si="1"/>
        <v>46569</v>
      </c>
      <c r="C20" s="31">
        <f>SUMIFS('إدخال المبيعات'!$F:$F,'إدخال المبيعات'!$B:$B,"&gt;="&amp;B20,'إدخال المبيعات'!$B:$B,"&lt;"&amp;EDATE(B20,1))</f>
        <v>0</v>
      </c>
      <c r="D20" s="31">
        <f>SUMIFS('إدخال المشتريات'!$F:$F,'إدخال المشتريات'!$B:$B,"&gt;="&amp;B20,'إدخال المشتريات'!$B:$B,"&lt;"&amp;EDATE(B20,1))</f>
        <v>0</v>
      </c>
      <c r="E20" s="44">
        <f t="shared" si="0"/>
        <v>0</v>
      </c>
    </row>
    <row r="21" spans="2:5" x14ac:dyDescent="0.3">
      <c r="B21" s="59">
        <f t="shared" si="1"/>
        <v>46600</v>
      </c>
      <c r="C21" s="29">
        <f>SUMIFS('إدخال المبيعات'!$F:$F,'إدخال المبيعات'!$B:$B,"&gt;="&amp;B21,'إدخال المبيعات'!$B:$B,"&lt;"&amp;EDATE(B21,1))</f>
        <v>0</v>
      </c>
      <c r="D21" s="29">
        <f>SUMIFS('إدخال المشتريات'!$F:$F,'إدخال المشتريات'!$B:$B,"&gt;="&amp;B21,'إدخال المشتريات'!$B:$B,"&lt;"&amp;EDATE(B21,1))</f>
        <v>0</v>
      </c>
      <c r="E21" s="40">
        <f t="shared" si="0"/>
        <v>0</v>
      </c>
    </row>
    <row r="22" spans="2:5" x14ac:dyDescent="0.3">
      <c r="B22" s="60">
        <f t="shared" si="1"/>
        <v>46631</v>
      </c>
      <c r="C22" s="31">
        <f>SUMIFS('إدخال المبيعات'!$F:$F,'إدخال المبيعات'!$B:$B,"&gt;="&amp;B22,'إدخال المبيعات'!$B:$B,"&lt;"&amp;EDATE(B22,1))</f>
        <v>0</v>
      </c>
      <c r="D22" s="31">
        <f>SUMIFS('إدخال المشتريات'!$F:$F,'إدخال المشتريات'!$B:$B,"&gt;="&amp;B22,'إدخال المشتريات'!$B:$B,"&lt;"&amp;EDATE(B22,1))</f>
        <v>0</v>
      </c>
      <c r="E22" s="44">
        <f t="shared" si="0"/>
        <v>0</v>
      </c>
    </row>
    <row r="23" spans="2:5" x14ac:dyDescent="0.3">
      <c r="B23" s="59">
        <f t="shared" si="1"/>
        <v>46661</v>
      </c>
      <c r="C23" s="29">
        <f>SUMIFS('إدخال المبيعات'!$F:$F,'إدخال المبيعات'!$B:$B,"&gt;="&amp;B23,'إدخال المبيعات'!$B:$B,"&lt;"&amp;EDATE(B23,1))</f>
        <v>0</v>
      </c>
      <c r="D23" s="29">
        <f>SUMIFS('إدخال المشتريات'!$F:$F,'إدخال المشتريات'!$B:$B,"&gt;="&amp;B23,'إدخال المشتريات'!$B:$B,"&lt;"&amp;EDATE(B23,1))</f>
        <v>0</v>
      </c>
      <c r="E23" s="40">
        <f t="shared" si="0"/>
        <v>0</v>
      </c>
    </row>
    <row r="24" spans="2:5" x14ac:dyDescent="0.3">
      <c r="B24" s="60">
        <f t="shared" si="1"/>
        <v>46692</v>
      </c>
      <c r="C24" s="31">
        <f>SUMIFS('إدخال المبيعات'!$F:$F,'إدخال المبيعات'!$B:$B,"&gt;="&amp;B24,'إدخال المبيعات'!$B:$B,"&lt;"&amp;EDATE(B24,1))</f>
        <v>0</v>
      </c>
      <c r="D24" s="31">
        <f>SUMIFS('إدخال المشتريات'!$F:$F,'إدخال المشتريات'!$B:$B,"&gt;="&amp;B24,'إدخال المشتريات'!$B:$B,"&lt;"&amp;EDATE(B24,1))</f>
        <v>0</v>
      </c>
      <c r="E24" s="44">
        <f t="shared" si="0"/>
        <v>0</v>
      </c>
    </row>
    <row r="25" spans="2:5" x14ac:dyDescent="0.3">
      <c r="B25" s="47" t="s">
        <v>71</v>
      </c>
      <c r="C25" s="48">
        <f>SUM(C7:C24)</f>
        <v>2574553.33</v>
      </c>
      <c r="D25" s="48">
        <f>SUM(D7:D24)</f>
        <v>3185390</v>
      </c>
      <c r="E25" s="48">
        <f>SUM(E7:E24)</f>
        <v>-610836.66999999969</v>
      </c>
    </row>
    <row r="27" spans="2:5" ht="39.75" customHeight="1" x14ac:dyDescent="0.3">
      <c r="B27" s="2" t="s">
        <v>95</v>
      </c>
      <c r="C27" s="2"/>
      <c r="D27" s="2"/>
      <c r="E27" s="2"/>
    </row>
  </sheetData>
  <mergeCells count="3">
    <mergeCell ref="B1:F1"/>
    <mergeCell ref="B2:F2"/>
    <mergeCell ref="B27:E2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8</vt:i4>
      </vt:variant>
    </vt:vector>
  </HeadingPairs>
  <TitlesOfParts>
    <vt:vector size="8" baseType="lpstr">
      <vt:lpstr>دليل الاستخدام</vt:lpstr>
      <vt:lpstr>لوحة القيادة</vt:lpstr>
      <vt:lpstr>المنتجات</vt:lpstr>
      <vt:lpstr>إدخال المشتريات</vt:lpstr>
      <vt:lpstr>إدخال المبيعات</vt:lpstr>
      <vt:lpstr>تقرير المنتجات</vt:lpstr>
      <vt:lpstr>التنبؤ وإعادة الطلب</vt:lpstr>
      <vt:lpstr>التقرير الشهري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PC</cp:lastModifiedBy>
  <cp:revision>0</cp:revision>
  <dcterms:created xsi:type="dcterms:W3CDTF">2026-08-03T07:23:02Z</dcterms:created>
  <dcterms:modified xsi:type="dcterms:W3CDTF">2026-08-03T08:13:07Z</dcterms:modified>
  <dc:language>en-US</dc:language>
</cp:coreProperties>
</file>